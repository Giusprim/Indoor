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ppe\Desktop\STRUMENTO PREP LEZIONI\"/>
    </mc:Choice>
  </mc:AlternateContent>
  <xr:revisionPtr revIDLastSave="0" documentId="13_ncr:1_{515A924E-0974-48F0-A2E6-FA56AB5A1B5C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Maschera" sheetId="1" r:id="rId1"/>
    <sheet name="EXPORT_TABELLA" sheetId="2" r:id="rId2"/>
  </sheets>
  <functionGroups builtInGroupCount="19"/>
  <definedNames>
    <definedName name="_xlnm.Print_Area" localSheetId="1">EXPORT_TABELLA!$A$1:$K$32</definedName>
    <definedName name="_xlnm.Print_Titles" localSheetId="1">EXPORT_TABELLA!$5:$5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1" l="1"/>
  <c r="E19" i="1"/>
  <c r="F19" i="1" s="1"/>
  <c r="E20" i="1"/>
  <c r="F20" i="1"/>
  <c r="E21" i="1"/>
  <c r="F21" i="1" s="1"/>
  <c r="E22" i="1"/>
  <c r="F22" i="1"/>
  <c r="E8" i="1"/>
  <c r="F8" i="1" s="1"/>
  <c r="A24" i="1" l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E6" i="1"/>
  <c r="F6" i="1" s="1"/>
  <c r="E7" i="1"/>
  <c r="F7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 s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" i="1"/>
  <c r="D3" i="1"/>
  <c r="F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</calcChain>
</file>

<file path=xl/sharedStrings.xml><?xml version="1.0" encoding="utf-8"?>
<sst xmlns="http://schemas.openxmlformats.org/spreadsheetml/2006/main" count="297" uniqueCount="125">
  <si>
    <t>TITOLO WORKOUT:</t>
  </si>
  <si>
    <t>URL PLAYLIST SPOTIFY:</t>
  </si>
  <si>
    <t>INIZIO</t>
  </si>
  <si>
    <t>BRANO (ARTISTA)</t>
  </si>
  <si>
    <t>DURATA SPOTIFY</t>
  </si>
  <si>
    <t>DISS. SEC</t>
  </si>
  <si>
    <t>DISSOLVENZA</t>
  </si>
  <si>
    <t>DUR.</t>
  </si>
  <si>
    <t>TECNICA</t>
  </si>
  <si>
    <t>MANI</t>
  </si>
  <si>
    <t>ZONE FC</t>
  </si>
  <si>
    <t>BPM</t>
  </si>
  <si>
    <t>RPM</t>
  </si>
  <si>
    <t>RES.</t>
  </si>
  <si>
    <t>FASE</t>
  </si>
  <si>
    <t>FOCUS COACHING</t>
  </si>
  <si>
    <t>SPOTIFY URL</t>
  </si>
  <si>
    <t>P1 ↔ P2</t>
  </si>
  <si>
    <t>Z2</t>
  </si>
  <si>
    <t>Warm-up</t>
  </si>
  <si>
    <t>Riscaldamento; prepara le gambe al ritmo.</t>
  </si>
  <si>
    <t>P3</t>
  </si>
  <si>
    <t>Z3</t>
  </si>
  <si>
    <t>Z4</t>
  </si>
  <si>
    <t>Jump</t>
  </si>
  <si>
    <t>P2 ↔ P3</t>
  </si>
  <si>
    <t>P2</t>
  </si>
  <si>
    <t>Z5</t>
  </si>
  <si>
    <t>Mantieni la cadenza; focus sul divertimento.</t>
  </si>
  <si>
    <t>P1</t>
  </si>
  <si>
    <t>Z1</t>
  </si>
  <si>
    <t>Stretching</t>
  </si>
  <si>
    <t>GIUSEPPE PRIMAVERA ISTRUTTORE INDOOR CYCLING AIF 2 LIVELLO</t>
  </si>
  <si>
    <t>Totale tracce:</t>
  </si>
  <si>
    <t>Tempo totale:</t>
  </si>
  <si>
    <t>Legenda Zone FC</t>
  </si>
  <si>
    <t>Rec/Very Easy</t>
  </si>
  <si>
    <t>Easy</t>
  </si>
  <si>
    <t>Moderate</t>
  </si>
  <si>
    <t>Hard</t>
  </si>
  <si>
    <t>Very Hard</t>
  </si>
  <si>
    <t>Defaticamento</t>
  </si>
  <si>
    <t>Nell’aria 2021 — Ben DJ</t>
  </si>
  <si>
    <t>Primavera — Ben DJ</t>
  </si>
  <si>
    <t>Nel blu dipinto di blu (Jack Sani Remix) — Domenico Modugno, Jack Sani</t>
  </si>
  <si>
    <t>Ti Sento — Bob Sinclar, Matia Bazar, Antonella Ruggiero</t>
  </si>
  <si>
    <t>ITALIA STARTER PACK — J‑Ax</t>
  </si>
  <si>
    <t>Con un Deca (Fargetta Remix) — 883, Fargetta</t>
  </si>
  <si>
    <t>Ninna Nanna (TWENTY SIX Remix) – Radio Edit — Loredana Bertè, TWENTY SIX</t>
  </si>
  <si>
    <t>Gloria — Agatino Romero, Umberto Tozzi</t>
  </si>
  <si>
    <t>Happy Hour (feat. Jack, Mazonni &amp; Miani) — DJ Matrix, Jack, Mazonni, Miani</t>
  </si>
  <si>
    <t>Soldi – Denis First Remix — Mahmood, Denis First</t>
  </si>
  <si>
    <t>Mambo Salentino — Boomdabash, Alessandra Amoroso</t>
  </si>
  <si>
    <t>Far l’Amore — Bob Sinclar, Raffaella Carrà</t>
  </si>
  <si>
    <t>Rumore – Steve Forest extended mix — Raffaella Carrà, Steve Forest</t>
  </si>
  <si>
    <t>Fare l’Amore (Evissimax Remix) – Radio Edit — Loredana Bertè, Evissimax</t>
  </si>
  <si>
    <t>Blue (Da Ba Dee) – Gabry Ponte Video Edit — Eiffel 65, Gabry Ponte</t>
  </si>
  <si>
    <t>Aserejé – Sanremo Remix — Elettra Lamborghini, Los Ketchup</t>
  </si>
  <si>
    <t>Ti Porto Via Con Me — Jovanotti</t>
  </si>
  <si>
    <t>La Cura — Franco Battiato</t>
  </si>
  <si>
    <t>Stretching in bici / off‑bike</t>
  </si>
  <si>
    <t>P2 → P3</t>
  </si>
  <si>
    <t>80–90</t>
  </si>
  <si>
    <t>85–95</t>
  </si>
  <si>
    <t>90–98</t>
  </si>
  <si>
    <t>95–100</t>
  </si>
  <si>
    <t>75–85</t>
  </si>
  <si>
    <t>70–80</t>
  </si>
  <si>
    <t>95–105</t>
  </si>
  <si>
    <t>105–120</t>
  </si>
  <si>
    <t>100–110</t>
  </si>
  <si>
    <t>90–100</t>
  </si>
  <si>
    <t>105–115</t>
  </si>
  <si>
    <t>85–90</t>
  </si>
  <si>
    <t>98–102</t>
  </si>
  <si>
    <t>80–85</t>
  </si>
  <si>
    <t>60–65</t>
  </si>
  <si>
    <t>Warm-up attivo</t>
  </si>
  <si>
    <t>Attiva la cadenza; 90 RPM controllati.</t>
  </si>
  <si>
    <t>Endurance</t>
  </si>
  <si>
    <t>Mantieni regolarità; respira ogni 4 battiti.</t>
  </si>
  <si>
    <t>Stabilità di core; niente rollii.</t>
  </si>
  <si>
    <t>Salita Power</t>
  </si>
  <si>
    <t>Aggiungi carico; resta sul beat.</t>
  </si>
  <si>
    <t>Climb progressivo</t>
  </si>
  <si>
    <t>Ogni minuto +1/10 di carico.</t>
  </si>
  <si>
    <t>Leggeri in piedi, potenti seduti.</t>
  </si>
  <si>
    <t>Build‑up</t>
  </si>
  <si>
    <t>Accelera 10–15 alla fine di ogni ritornello.</t>
  </si>
  <si>
    <t>Sprint Block #1</t>
  </si>
  <si>
    <t>Sprint pulito: bacino fermo, spinta rotonda.</t>
  </si>
  <si>
    <t>30 ON / 45 OFF ×3–4.</t>
  </si>
  <si>
    <t>Recovery ritmato</t>
  </si>
  <si>
    <t>Respira; sorridi; tieni il tempo.</t>
  </si>
  <si>
    <t>Sprint tecnico</t>
  </si>
  <si>
    <t>4–6 ripetizioni, chiudi in accelerazione.</t>
  </si>
  <si>
    <t>Controllo</t>
  </si>
  <si>
    <t>Ricomponi il gesto; respira profondo.</t>
  </si>
  <si>
    <t>PEAK / Finisher</t>
  </si>
  <si>
    <t>Dai tutto ma resta pulito.</t>
  </si>
  <si>
    <t>Party Decompression</t>
  </si>
  <si>
    <t>Ultimo sprint di classe; divertiti.</t>
  </si>
  <si>
    <t>Party Ride</t>
  </si>
  <si>
    <t>Allunga la pedalata, abbassa FC.</t>
  </si>
  <si>
    <t>Respira; chiudi con gratitudine.</t>
  </si>
  <si>
    <t>Spinning 7: Italian Power Ride – Advanced Interval Spinning</t>
  </si>
  <si>
    <t>https://open.spotify.com/playlist/2YEWQkX2mrFV4qzE6mS0ZF?si=66a9cb3fba58454f</t>
  </si>
  <si>
    <t>Seduto leggero → In piedi leggero → Seduto leggero</t>
  </si>
  <si>
    <t xml:space="preserve"> Seduto veloce → In piedi leggero → Seduto veloce</t>
  </si>
  <si>
    <t>Seduto veloce → Seduto ritmo costante</t>
  </si>
  <si>
    <t>Seduto ritmo → In piedi leggero → Seduto veloce</t>
  </si>
  <si>
    <t>Salita progressiva: Seduto carico → In piedi carico</t>
  </si>
  <si>
    <t>Salita ritmica: Seduto carico → In piedi carico → Seduto carico</t>
  </si>
  <si>
    <t>Jump in 8 → Jump in 4 → Jump in 2</t>
  </si>
  <si>
    <t>Jump in 4 → In piedi veloce → Seduto veloce (accelerazione)</t>
  </si>
  <si>
    <t>Sprint 20'' ON (in piedi) → Seduto leggero 20'' OFF</t>
  </si>
  <si>
    <t xml:space="preserve"> Sprint 30'' seduto → Sprint 30'' in piedi → Seduto veloce</t>
  </si>
  <si>
    <t>Tempo ride: Seduto veloce → Seduto leggero</t>
  </si>
  <si>
    <t>Sprint 30'' ON (in piedi) → Seduto 30'' OFF (x4‑6)</t>
  </si>
  <si>
    <t>Tempo ride controllo (seduto)</t>
  </si>
  <si>
    <t>Sprint 15'' ON (in piedi) → Seduto 15'' OFF (a sensazione)</t>
  </si>
  <si>
    <t>Jump in 4 → Jump in 2 → Sprint breve → Seduto veloce</t>
  </si>
  <si>
    <t>Seduto leggero (party ride)</t>
  </si>
  <si>
    <t>Seduto leggero (defaticamento)</t>
  </si>
  <si>
    <t>Tabella marcia - Spinning 7: Italian Power Ride – Advanced Interval Spinning - 2026-03-17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</si>
</sst>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mm]:ss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u/>
      <sz val="11"/>
      <color rgb="FF0000FF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CC"/>
      </patternFill>
    </fill>
    <fill>
      <patternFill patternType="solid">
        <fgColor rgb="FFD2D2D2"/>
      </patternFill>
    </fill>
    <fill>
      <patternFill patternType="solid">
        <fgColor rgb="FFF0F0F0"/>
      </patternFill>
    </fill>
    <fill>
      <patternFill patternType="solid">
        <fgColor rgb="FFE6E6E6"/>
        <bgColor indexed="64"/>
      </patternFill>
    </fill>
    <fill>
      <patternFill patternType="solid">
        <fgColor rgb="FF5BC0FF"/>
        <bgColor indexed="64"/>
      </patternFill>
    </fill>
    <fill>
      <patternFill patternType="solid">
        <fgColor rgb="FF29B36B"/>
        <bgColor indexed="64"/>
      </patternFill>
    </fill>
    <fill>
      <patternFill patternType="solid">
        <fgColor rgb="FFFFD33D"/>
        <bgColor indexed="64"/>
      </patternFill>
    </fill>
    <fill>
      <patternFill patternType="solid">
        <fgColor rgb="FFFF8A33"/>
        <bgColor indexed="64"/>
      </patternFill>
    </fill>
    <fill>
      <patternFill patternType="solid">
        <fgColor rgb="FFFF3B30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" fillId="3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1" fontId="0" fillId="0" borderId="1" xfId="0" applyNumberFormat="1" applyBorder="1" applyProtection="1">
      <protection locked="0"/>
    </xf>
    <xf numFmtId="0" fontId="1" fillId="3" borderId="1" xfId="0" applyFont="1" applyFill="1" applyBorder="1"/>
    <xf numFmtId="164" fontId="0" fillId="4" borderId="1" xfId="0" applyNumberFormat="1" applyFill="1" applyBorder="1"/>
    <xf numFmtId="9" fontId="0" fillId="0" borderId="1" xfId="0" applyNumberFormat="1" applyBorder="1" applyProtection="1">
      <protection locked="0"/>
    </xf>
    <xf numFmtId="21" fontId="0" fillId="0" borderId="0" xfId="0" applyNumberFormat="1" applyProtection="1">
      <protection locked="0"/>
    </xf>
    <xf numFmtId="21" fontId="0" fillId="2" borderId="0" xfId="0" applyNumberFormat="1" applyFill="1" applyProtection="1">
      <protection locked="0"/>
    </xf>
    <xf numFmtId="21" fontId="1" fillId="3" borderId="1" xfId="0" applyNumberFormat="1" applyFont="1" applyFill="1" applyBorder="1" applyProtection="1">
      <protection locked="0"/>
    </xf>
    <xf numFmtId="21" fontId="0" fillId="0" borderId="1" xfId="0" applyNumberFormat="1" applyBorder="1" applyProtection="1">
      <protection locked="0"/>
    </xf>
    <xf numFmtId="0" fontId="4" fillId="5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4" borderId="1" xfId="0" applyNumberForma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21" fontId="0" fillId="0" borderId="0" xfId="0" applyNumberFormat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3" borderId="1" xfId="0" applyFont="1" applyFill="1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4" fillId="0" borderId="0" xfId="0" applyFont="1"/>
    <xf numFmtId="0" fontId="5" fillId="0" borderId="0" xfId="0" applyFont="1"/>
    <xf numFmtId="46" fontId="0" fillId="7" borderId="2" xfId="0" applyNumberFormat="1" applyFill="1" applyBorder="1" applyAlignment="1">
      <alignment vertical="center"/>
    </xf>
    <xf numFmtId="0" fontId="0" fillId="7" borderId="2" xfId="0" applyFill="1" applyBorder="1" applyAlignment="1">
      <alignment vertical="center"/>
    </xf>
    <xf numFmtId="9" fontId="0" fillId="7" borderId="2" xfId="0" applyNumberFormat="1" applyFill="1" applyBorder="1" applyAlignment="1">
      <alignment vertical="center"/>
    </xf>
    <xf numFmtId="46" fontId="0" fillId="8" borderId="2" xfId="0" applyNumberFormat="1" applyFill="1" applyBorder="1" applyAlignment="1">
      <alignment vertical="center"/>
    </xf>
    <xf numFmtId="0" fontId="0" fillId="8" borderId="2" xfId="0" applyFill="1" applyBorder="1" applyAlignment="1">
      <alignment vertical="center"/>
    </xf>
    <xf numFmtId="9" fontId="0" fillId="8" borderId="2" xfId="0" applyNumberFormat="1" applyFill="1" applyBorder="1" applyAlignment="1">
      <alignment vertical="center"/>
    </xf>
    <xf numFmtId="46" fontId="0" fillId="9" borderId="2" xfId="0" applyNumberFormat="1" applyFill="1" applyBorder="1" applyAlignment="1">
      <alignment vertical="center"/>
    </xf>
    <xf numFmtId="0" fontId="0" fillId="9" borderId="2" xfId="0" applyFill="1" applyBorder="1" applyAlignment="1">
      <alignment vertical="center"/>
    </xf>
    <xf numFmtId="9" fontId="0" fillId="9" borderId="2" xfId="0" applyNumberFormat="1" applyFill="1" applyBorder="1" applyAlignment="1">
      <alignment vertical="center"/>
    </xf>
    <xf numFmtId="46" fontId="0" fillId="10" borderId="2" xfId="0" applyNumberFormat="1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9" fontId="0" fillId="10" borderId="2" xfId="0" applyNumberFormat="1" applyFill="1" applyBorder="1" applyAlignment="1">
      <alignment vertical="center"/>
    </xf>
    <xf numFmtId="46" fontId="0" fillId="6" borderId="2" xfId="0" applyNumberFormat="1" applyFill="1" applyBorder="1" applyAlignment="1">
      <alignment vertical="center"/>
    </xf>
    <xf numFmtId="0" fontId="0" fillId="6" borderId="2" xfId="0" applyFill="1" applyBorder="1" applyAlignment="1">
      <alignment vertical="center"/>
    </xf>
    <xf numFmtId="9" fontId="0" fillId="6" borderId="2" xfId="0" applyNumberFormat="1" applyFill="1" applyBorder="1" applyAlignment="1">
      <alignment vertical="center"/>
    </xf>
    <xf numFmtId="0" fontId="0" fillId="7" borderId="2" xfId="0" applyFill="1" applyBorder="1" applyAlignment="1">
      <alignment vertical="center" wrapText="1"/>
    </xf>
    <xf numFmtId="0" fontId="0" fillId="8" borderId="2" xfId="0" applyFill="1" applyBorder="1" applyAlignment="1">
      <alignment vertical="center" wrapText="1"/>
    </xf>
    <xf numFmtId="0" fontId="0" fillId="9" borderId="2" xfId="0" applyFill="1" applyBorder="1" applyAlignment="1">
      <alignment vertical="center" wrapText="1"/>
    </xf>
    <xf numFmtId="0" fontId="0" fillId="10" borderId="2" xfId="0" applyFill="1" applyBorder="1" applyAlignment="1">
      <alignment vertical="center" wrapText="1"/>
    </xf>
    <xf numFmtId="0" fontId="0" fillId="6" borderId="2" xfId="0" applyFill="1" applyBorder="1" applyAlignment="1">
      <alignment vertical="center" wrapText="1"/>
    </xf>
    <xf numFmtId="0" fontId="4" fillId="0" borderId="0" xfId="0" applyFont="1" applyAlignment="1">
      <alignment wrapText="1"/>
    </xf>
    <xf numFmtId="46" fontId="4" fillId="0" borderId="0" xfId="0" applyNumberFormat="1" applyFont="1"/>
    <xf numFmtId="0" fontId="0" fillId="0" borderId="0" xfId="0" applyAlignment="1">
      <alignment horizontal="left" vertical="center"/>
    </xf>
    <xf numFmtId="44" fontId="0" fillId="0" borderId="0" xfId="1" applyFont="1" applyAlignment="1" applyProtection="1">
      <alignment horizontal="left" vertical="center"/>
      <protection locked="0"/>
    </xf>
    <xf numFmtId="44" fontId="1" fillId="3" borderId="1" xfId="1" applyFont="1" applyFill="1" applyBorder="1" applyAlignment="1" applyProtection="1">
      <alignment horizontal="left" vertical="center"/>
      <protection locked="0"/>
    </xf>
    <xf numFmtId="44" fontId="0" fillId="0" borderId="1" xfId="1" applyFont="1" applyBorder="1" applyAlignment="1" applyProtection="1">
      <alignment horizontal="left" vertical="center"/>
      <protection locked="0"/>
    </xf>
  </cellXfs>
  <cellStyles count="2">
    <cellStyle name="Normale" xfId="0" builtinId="0"/>
    <cellStyle name="Valuta" xfId="1" builtinId="4"/>
  </cellStyles>
  <dxfs count="10">
    <dxf>
      <fill>
        <patternFill patternType="solid">
          <fgColor rgb="FFFF0000"/>
        </patternFill>
      </fill>
    </dxf>
    <dxf>
      <fill>
        <patternFill patternType="solid">
          <fgColor rgb="FFFF7F00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00B050"/>
        </patternFill>
      </fill>
    </dxf>
    <dxf>
      <fill>
        <patternFill patternType="solid">
          <fgColor rgb="FF0070C0"/>
        </patternFill>
      </fill>
    </dxf>
    <dxf>
      <fill>
        <patternFill patternType="solid">
          <fgColor rgb="FFFF0000"/>
        </patternFill>
      </fill>
    </dxf>
    <dxf>
      <fill>
        <patternFill patternType="solid">
          <fgColor rgb="FFFF7F00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00B050"/>
        </patternFill>
      </fill>
    </dxf>
    <dxf>
      <fill>
        <patternFill patternType="solid">
          <fgColor rgb="FF0070C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0</xdr:row>
          <xdr:rowOff>60960</xdr:rowOff>
        </xdr:from>
        <xdr:to>
          <xdr:col>7</xdr:col>
          <xdr:colOff>670560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WorkOut PDF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T225"/>
  <sheetViews>
    <sheetView tabSelected="1" zoomScale="80" zoomScaleNormal="80" workbookViewId="0">
      <pane ySplit="4" topLeftCell="A5" activePane="bottomLeft" state="frozen"/>
      <selection pane="bottomLeft" activeCell="G18" sqref="G18"/>
    </sheetView>
  </sheetViews>
  <sheetFormatPr defaultRowHeight="14.4" x14ac:dyDescent="0.3"/>
  <cols>
    <col min="1" max="1" width="9" customWidth="1"/>
    <col min="2" max="2" width="34" style="20" customWidth="1"/>
    <col min="3" max="3" width="17.109375" style="9" customWidth="1"/>
    <col min="4" max="4" width="10" style="1" customWidth="1"/>
    <col min="5" max="5" width="12.88671875" bestFit="1" customWidth="1"/>
    <col min="6" max="6" width="12" customWidth="1"/>
    <col min="7" max="7" width="61.77734375" style="49" bestFit="1" customWidth="1"/>
    <col min="8" max="8" width="12" style="1" customWidth="1"/>
    <col min="9" max="9" width="10" style="1" customWidth="1"/>
    <col min="10" max="12" width="8" style="1" customWidth="1"/>
    <col min="13" max="13" width="12" style="1" customWidth="1"/>
    <col min="14" max="14" width="40.5546875" style="1" customWidth="1"/>
    <col min="15" max="15" width="38" style="1" customWidth="1"/>
  </cols>
  <sheetData>
    <row r="1" spans="1:20" x14ac:dyDescent="0.3">
      <c r="P1" s="1"/>
      <c r="Q1" s="1"/>
      <c r="R1" s="1"/>
      <c r="S1" s="1"/>
      <c r="T1" s="1"/>
    </row>
    <row r="2" spans="1:20" x14ac:dyDescent="0.3">
      <c r="B2" s="21" t="s">
        <v>0</v>
      </c>
      <c r="C2" s="10" t="s">
        <v>105</v>
      </c>
      <c r="P2" s="1"/>
      <c r="Q2" s="1"/>
      <c r="R2" s="1"/>
      <c r="S2" s="1"/>
      <c r="T2" s="1"/>
    </row>
    <row r="3" spans="1:20" x14ac:dyDescent="0.3">
      <c r="B3" s="21" t="s">
        <v>1</v>
      </c>
      <c r="C3" s="10" t="s">
        <v>106</v>
      </c>
      <c r="D3" s="2" t="str">
        <f>IF(C3&lt;&gt;"",HYPERLINK(C3,"APRI PLAYLIST"),"")</f>
        <v>APRI PLAYLIST</v>
      </c>
      <c r="P3" s="1"/>
      <c r="Q3" s="1"/>
      <c r="R3" s="1"/>
      <c r="S3" s="1"/>
      <c r="T3" s="1"/>
    </row>
    <row r="4" spans="1:20" x14ac:dyDescent="0.3">
      <c r="A4" s="6" t="s">
        <v>2</v>
      </c>
      <c r="B4" s="22" t="s">
        <v>3</v>
      </c>
      <c r="C4" s="11" t="s">
        <v>4</v>
      </c>
      <c r="D4" s="3" t="s">
        <v>5</v>
      </c>
      <c r="E4" s="6" t="s">
        <v>6</v>
      </c>
      <c r="F4" s="6" t="s">
        <v>7</v>
      </c>
      <c r="G4" s="50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  <c r="M4" s="3" t="s">
        <v>14</v>
      </c>
      <c r="N4" s="3" t="s">
        <v>15</v>
      </c>
      <c r="O4" s="3" t="s">
        <v>16</v>
      </c>
      <c r="P4" s="1"/>
      <c r="Q4" s="1"/>
      <c r="R4" s="1"/>
      <c r="S4" s="1"/>
      <c r="T4" s="1"/>
    </row>
    <row r="5" spans="1:20" x14ac:dyDescent="0.3">
      <c r="A5" s="15">
        <v>0</v>
      </c>
      <c r="B5" s="14" t="s">
        <v>42</v>
      </c>
      <c r="C5" s="17">
        <v>1.7708333333333332E-3</v>
      </c>
      <c r="D5" s="18">
        <v>4</v>
      </c>
      <c r="E5" s="15">
        <f t="shared" ref="E5:E50" si="0">IF(D5&gt;0,D5/86400,"")</f>
        <v>4.6296296296296294E-5</v>
      </c>
      <c r="F5" s="15">
        <f>IF(C5&gt;0,C5-E5,"")</f>
        <v>1.724537037037037E-3</v>
      </c>
      <c r="G5" s="48" t="s">
        <v>107</v>
      </c>
      <c r="H5" t="s">
        <v>17</v>
      </c>
      <c r="I5" t="s">
        <v>18</v>
      </c>
      <c r="J5">
        <v>116</v>
      </c>
      <c r="K5" t="s">
        <v>62</v>
      </c>
      <c r="L5" s="19">
        <v>0.25</v>
      </c>
      <c r="M5" t="s">
        <v>19</v>
      </c>
      <c r="N5" t="s">
        <v>20</v>
      </c>
      <c r="O5" s="16"/>
      <c r="P5" s="1"/>
      <c r="Q5" s="1"/>
      <c r="R5" s="1"/>
      <c r="S5" s="1"/>
      <c r="T5" s="1"/>
    </row>
    <row r="6" spans="1:20" x14ac:dyDescent="0.3">
      <c r="A6" s="15">
        <f t="shared" ref="A6:A50" si="1">IF(B5&lt;&gt;"",A5+F5,"")</f>
        <v>1.724537037037037E-3</v>
      </c>
      <c r="B6" s="14" t="s">
        <v>43</v>
      </c>
      <c r="C6" s="17">
        <v>2.4305555555555556E-3</v>
      </c>
      <c r="D6" s="18">
        <v>4</v>
      </c>
      <c r="E6" s="15">
        <f t="shared" si="0"/>
        <v>4.6296296296296294E-5</v>
      </c>
      <c r="F6" s="15">
        <f>IF(C6&gt;0,C6-E6,"")</f>
        <v>2.3842592592592591E-3</v>
      </c>
      <c r="G6" s="48" t="s">
        <v>108</v>
      </c>
      <c r="H6" t="s">
        <v>26</v>
      </c>
      <c r="I6" t="s">
        <v>18</v>
      </c>
      <c r="J6">
        <v>114</v>
      </c>
      <c r="K6" t="s">
        <v>63</v>
      </c>
      <c r="L6" s="19">
        <v>0.35</v>
      </c>
      <c r="M6" t="s">
        <v>77</v>
      </c>
      <c r="N6" t="s">
        <v>78</v>
      </c>
      <c r="O6" s="16"/>
      <c r="P6" s="1"/>
      <c r="Q6" s="1"/>
      <c r="R6" s="1"/>
      <c r="S6" s="1"/>
      <c r="T6" s="1"/>
    </row>
    <row r="7" spans="1:20" ht="28.8" x14ac:dyDescent="0.3">
      <c r="A7" s="15">
        <f t="shared" si="1"/>
        <v>4.1087962962962962E-3</v>
      </c>
      <c r="B7" s="14" t="s">
        <v>44</v>
      </c>
      <c r="C7" s="17">
        <v>2.1296296296296298E-3</v>
      </c>
      <c r="D7" s="18">
        <v>4</v>
      </c>
      <c r="E7" s="15">
        <f t="shared" si="0"/>
        <v>4.6296296296296294E-5</v>
      </c>
      <c r="F7" s="15">
        <f>IF(C7&gt;0,C7-E7,"")</f>
        <v>2.0833333333333333E-3</v>
      </c>
      <c r="G7" s="48" t="s">
        <v>109</v>
      </c>
      <c r="H7" t="s">
        <v>26</v>
      </c>
      <c r="I7" t="s">
        <v>22</v>
      </c>
      <c r="J7">
        <v>123</v>
      </c>
      <c r="K7" t="s">
        <v>64</v>
      </c>
      <c r="L7" s="19">
        <v>0.45</v>
      </c>
      <c r="M7" t="s">
        <v>79</v>
      </c>
      <c r="N7" t="s">
        <v>80</v>
      </c>
      <c r="O7" s="16"/>
      <c r="P7" s="1"/>
      <c r="Q7" s="1"/>
      <c r="R7" s="1"/>
      <c r="S7" s="1"/>
      <c r="T7" s="1"/>
    </row>
    <row r="8" spans="1:20" ht="28.8" x14ac:dyDescent="0.3">
      <c r="A8" s="15">
        <f t="shared" si="1"/>
        <v>6.192129629629629E-3</v>
      </c>
      <c r="B8" s="14" t="s">
        <v>45</v>
      </c>
      <c r="C8" s="17">
        <v>2.0833333333333333E-3</v>
      </c>
      <c r="D8" s="18">
        <v>4</v>
      </c>
      <c r="E8" s="15">
        <f>IF(D8&gt;0,D8/86400,"")</f>
        <v>4.6296296296296294E-5</v>
      </c>
      <c r="F8" s="15">
        <f>IF(C8&gt;0,C8-E8,"")</f>
        <v>2.0370370370370369E-3</v>
      </c>
      <c r="G8" s="48" t="s">
        <v>110</v>
      </c>
      <c r="H8" t="s">
        <v>26</v>
      </c>
      <c r="I8" t="s">
        <v>22</v>
      </c>
      <c r="J8">
        <v>123</v>
      </c>
      <c r="K8" t="s">
        <v>65</v>
      </c>
      <c r="L8" s="19">
        <v>0.5</v>
      </c>
      <c r="M8" t="s">
        <v>79</v>
      </c>
      <c r="N8" t="s">
        <v>81</v>
      </c>
      <c r="O8" s="16"/>
      <c r="P8" s="1"/>
      <c r="Q8" s="1"/>
      <c r="R8" s="1"/>
      <c r="S8" s="1"/>
      <c r="T8" s="1"/>
    </row>
    <row r="9" spans="1:20" x14ac:dyDescent="0.3">
      <c r="A9" s="15">
        <f t="shared" si="1"/>
        <v>8.2291666666666659E-3</v>
      </c>
      <c r="B9" s="14" t="s">
        <v>46</v>
      </c>
      <c r="C9" s="17">
        <v>1.9675925925925924E-3</v>
      </c>
      <c r="D9" s="18">
        <v>4</v>
      </c>
      <c r="E9" s="15">
        <f t="shared" si="0"/>
        <v>4.6296296296296294E-5</v>
      </c>
      <c r="F9" s="15">
        <f>IF(C9&gt;0,C9-E9,"")</f>
        <v>1.9212962962962962E-3</v>
      </c>
      <c r="G9" s="48" t="s">
        <v>112</v>
      </c>
      <c r="H9" t="s">
        <v>61</v>
      </c>
      <c r="I9" t="s">
        <v>23</v>
      </c>
      <c r="J9">
        <v>115</v>
      </c>
      <c r="K9" t="s">
        <v>66</v>
      </c>
      <c r="L9" s="19">
        <v>0.65</v>
      </c>
      <c r="M9" t="s">
        <v>82</v>
      </c>
      <c r="N9" t="s">
        <v>83</v>
      </c>
      <c r="O9" s="16"/>
      <c r="P9" s="1"/>
      <c r="Q9" s="1"/>
      <c r="R9" s="1"/>
      <c r="S9" s="1"/>
      <c r="T9" s="1"/>
    </row>
    <row r="10" spans="1:20" ht="28.8" x14ac:dyDescent="0.3">
      <c r="A10" s="15">
        <f t="shared" si="1"/>
        <v>1.0150462962962962E-2</v>
      </c>
      <c r="B10" s="14" t="s">
        <v>47</v>
      </c>
      <c r="C10" s="17">
        <v>4.0972222222222226E-3</v>
      </c>
      <c r="D10" s="18">
        <v>4</v>
      </c>
      <c r="E10" s="15">
        <f t="shared" si="0"/>
        <v>4.6296296296296294E-5</v>
      </c>
      <c r="F10" s="15">
        <f t="shared" ref="F10:F17" si="2">IF(C10&gt;0,C10-E10,"")</f>
        <v>4.0509259259259266E-3</v>
      </c>
      <c r="G10" s="48" t="s">
        <v>111</v>
      </c>
      <c r="H10" t="s">
        <v>61</v>
      </c>
      <c r="I10" t="s">
        <v>23</v>
      </c>
      <c r="J10">
        <v>124</v>
      </c>
      <c r="K10" t="s">
        <v>67</v>
      </c>
      <c r="L10" s="19">
        <v>0.7</v>
      </c>
      <c r="M10" t="s">
        <v>84</v>
      </c>
      <c r="N10" t="s">
        <v>85</v>
      </c>
      <c r="O10" s="16"/>
      <c r="P10" s="1"/>
      <c r="Q10" s="1"/>
      <c r="R10" s="1"/>
      <c r="S10" s="1"/>
      <c r="T10" s="1"/>
    </row>
    <row r="11" spans="1:20" ht="43.2" x14ac:dyDescent="0.3">
      <c r="A11" s="15">
        <f t="shared" si="1"/>
        <v>1.4201388888888888E-2</v>
      </c>
      <c r="B11" s="14" t="s">
        <v>48</v>
      </c>
      <c r="C11" s="17">
        <v>1.4467592592592592E-3</v>
      </c>
      <c r="D11" s="18">
        <v>4</v>
      </c>
      <c r="E11" s="15">
        <f t="shared" si="0"/>
        <v>4.6296296296296294E-5</v>
      </c>
      <c r="F11" s="15">
        <f t="shared" si="2"/>
        <v>1.4004629629629629E-3</v>
      </c>
      <c r="G11" s="48" t="s">
        <v>113</v>
      </c>
      <c r="H11" t="s">
        <v>25</v>
      </c>
      <c r="I11" t="s">
        <v>23</v>
      </c>
      <c r="J11">
        <v>130</v>
      </c>
      <c r="K11" t="s">
        <v>63</v>
      </c>
      <c r="L11" s="19">
        <v>0.6</v>
      </c>
      <c r="M11" t="s">
        <v>24</v>
      </c>
      <c r="N11" t="s">
        <v>86</v>
      </c>
      <c r="O11" s="16"/>
      <c r="P11" s="1"/>
      <c r="Q11" s="1"/>
      <c r="R11" s="1"/>
      <c r="S11" s="1"/>
      <c r="T11" s="1"/>
    </row>
    <row r="12" spans="1:20" ht="28.8" x14ac:dyDescent="0.3">
      <c r="A12" s="15">
        <f t="shared" si="1"/>
        <v>1.5601851851851851E-2</v>
      </c>
      <c r="B12" s="14" t="s">
        <v>49</v>
      </c>
      <c r="C12" s="17">
        <v>2.0370370370370369E-3</v>
      </c>
      <c r="D12" s="18">
        <v>4</v>
      </c>
      <c r="E12" s="15">
        <f t="shared" si="0"/>
        <v>4.6296296296296294E-5</v>
      </c>
      <c r="F12" s="15">
        <f t="shared" si="2"/>
        <v>1.9907407407407404E-3</v>
      </c>
      <c r="G12" s="48" t="s">
        <v>114</v>
      </c>
      <c r="H12" t="s">
        <v>25</v>
      </c>
      <c r="I12" t="s">
        <v>23</v>
      </c>
      <c r="J12">
        <v>134</v>
      </c>
      <c r="K12" t="s">
        <v>68</v>
      </c>
      <c r="L12" s="19">
        <v>0.65</v>
      </c>
      <c r="M12" t="s">
        <v>87</v>
      </c>
      <c r="N12" t="s">
        <v>88</v>
      </c>
      <c r="O12" s="16"/>
      <c r="P12" s="1"/>
      <c r="Q12" s="1"/>
      <c r="R12" s="1"/>
      <c r="S12" s="1"/>
      <c r="T12" s="1"/>
    </row>
    <row r="13" spans="1:20" ht="43.2" x14ac:dyDescent="0.3">
      <c r="A13" s="15">
        <f t="shared" si="1"/>
        <v>1.759259259259259E-2</v>
      </c>
      <c r="B13" s="14" t="s">
        <v>50</v>
      </c>
      <c r="C13" s="17">
        <v>2.6157407407407405E-3</v>
      </c>
      <c r="D13" s="18">
        <v>4</v>
      </c>
      <c r="E13" s="15">
        <f t="shared" si="0"/>
        <v>4.6296296296296294E-5</v>
      </c>
      <c r="F13" s="15">
        <f t="shared" si="2"/>
        <v>2.5694444444444441E-3</v>
      </c>
      <c r="G13" s="48" t="s">
        <v>115</v>
      </c>
      <c r="H13" t="s">
        <v>21</v>
      </c>
      <c r="I13" t="s">
        <v>27</v>
      </c>
      <c r="J13">
        <v>140</v>
      </c>
      <c r="K13" t="s">
        <v>69</v>
      </c>
      <c r="L13" s="19">
        <v>0.75</v>
      </c>
      <c r="M13" t="s">
        <v>89</v>
      </c>
      <c r="N13" t="s">
        <v>90</v>
      </c>
      <c r="O13" s="16"/>
      <c r="P13" s="1"/>
      <c r="Q13" s="1"/>
      <c r="R13" s="1"/>
      <c r="S13" s="1"/>
      <c r="T13" s="1"/>
    </row>
    <row r="14" spans="1:20" ht="28.8" x14ac:dyDescent="0.3">
      <c r="A14" s="15">
        <f t="shared" si="1"/>
        <v>2.0162037037037034E-2</v>
      </c>
      <c r="B14" s="14" t="s">
        <v>51</v>
      </c>
      <c r="C14" s="17">
        <v>2.0833333333333333E-3</v>
      </c>
      <c r="D14" s="18">
        <v>4</v>
      </c>
      <c r="E14" s="15">
        <f t="shared" si="0"/>
        <v>4.6296296296296294E-5</v>
      </c>
      <c r="F14" s="15">
        <f t="shared" si="2"/>
        <v>2.0370370370370369E-3</v>
      </c>
      <c r="G14" s="48" t="s">
        <v>116</v>
      </c>
      <c r="H14" t="s">
        <v>61</v>
      </c>
      <c r="I14" t="s">
        <v>27</v>
      </c>
      <c r="J14">
        <v>100</v>
      </c>
      <c r="K14" t="s">
        <v>70</v>
      </c>
      <c r="L14" s="19">
        <v>0.75</v>
      </c>
      <c r="M14" t="s">
        <v>89</v>
      </c>
      <c r="N14" t="s">
        <v>91</v>
      </c>
      <c r="O14" s="16"/>
      <c r="P14" s="1"/>
      <c r="Q14" s="1"/>
      <c r="R14" s="1"/>
      <c r="S14" s="1"/>
      <c r="T14" s="1"/>
    </row>
    <row r="15" spans="1:20" ht="28.8" x14ac:dyDescent="0.3">
      <c r="A15" s="15">
        <f t="shared" si="1"/>
        <v>2.2199074074074072E-2</v>
      </c>
      <c r="B15" s="14" t="s">
        <v>52</v>
      </c>
      <c r="C15" s="17">
        <v>1.7939814814814815E-3</v>
      </c>
      <c r="D15" s="18">
        <v>4</v>
      </c>
      <c r="E15" s="15">
        <f t="shared" si="0"/>
        <v>4.6296296296296294E-5</v>
      </c>
      <c r="F15" s="15">
        <f t="shared" si="2"/>
        <v>1.7476851851851852E-3</v>
      </c>
      <c r="G15" s="48" t="s">
        <v>117</v>
      </c>
      <c r="H15" t="s">
        <v>26</v>
      </c>
      <c r="I15" t="s">
        <v>22</v>
      </c>
      <c r="J15">
        <v>100</v>
      </c>
      <c r="K15" t="s">
        <v>71</v>
      </c>
      <c r="L15" s="19">
        <v>0.5</v>
      </c>
      <c r="M15" t="s">
        <v>92</v>
      </c>
      <c r="N15" t="s">
        <v>93</v>
      </c>
      <c r="O15" s="16"/>
      <c r="P15" s="1"/>
      <c r="Q15" s="1"/>
      <c r="R15" s="1"/>
      <c r="S15" s="1"/>
      <c r="T15" s="1"/>
    </row>
    <row r="16" spans="1:20" ht="28.8" x14ac:dyDescent="0.3">
      <c r="A16" s="15">
        <f t="shared" si="1"/>
        <v>2.3946759259259258E-2</v>
      </c>
      <c r="B16" s="14" t="s">
        <v>53</v>
      </c>
      <c r="C16" s="17">
        <v>2.1064814814814813E-3</v>
      </c>
      <c r="D16" s="18">
        <v>4</v>
      </c>
      <c r="E16" s="15">
        <f t="shared" si="0"/>
        <v>4.6296296296296294E-5</v>
      </c>
      <c r="F16" s="15">
        <f t="shared" si="2"/>
        <v>2.0601851851851849E-3</v>
      </c>
      <c r="G16" s="48" t="s">
        <v>118</v>
      </c>
      <c r="H16" t="s">
        <v>21</v>
      </c>
      <c r="I16" t="s">
        <v>27</v>
      </c>
      <c r="J16">
        <v>128</v>
      </c>
      <c r="K16" t="s">
        <v>72</v>
      </c>
      <c r="L16" s="19">
        <v>0.8</v>
      </c>
      <c r="M16" t="s">
        <v>94</v>
      </c>
      <c r="N16" t="s">
        <v>95</v>
      </c>
      <c r="O16" s="16"/>
      <c r="P16" s="1"/>
      <c r="Q16" s="1"/>
      <c r="R16" s="1"/>
      <c r="S16" s="1"/>
      <c r="T16" s="1"/>
    </row>
    <row r="17" spans="1:20" ht="28.8" x14ac:dyDescent="0.3">
      <c r="A17" s="15">
        <f t="shared" si="1"/>
        <v>2.6006944444444444E-2</v>
      </c>
      <c r="B17" s="14" t="s">
        <v>54</v>
      </c>
      <c r="C17" s="17">
        <v>2.4537037037037036E-3</v>
      </c>
      <c r="D17" s="18">
        <v>4</v>
      </c>
      <c r="E17" s="15">
        <f t="shared" si="0"/>
        <v>4.6296296296296294E-5</v>
      </c>
      <c r="F17" s="15">
        <f t="shared" si="2"/>
        <v>2.4074074074074072E-3</v>
      </c>
      <c r="G17" s="48" t="s">
        <v>119</v>
      </c>
      <c r="H17" t="s">
        <v>26</v>
      </c>
      <c r="I17" t="s">
        <v>22</v>
      </c>
      <c r="J17">
        <v>125</v>
      </c>
      <c r="K17" t="s">
        <v>65</v>
      </c>
      <c r="L17" s="19">
        <v>0.55000000000000004</v>
      </c>
      <c r="M17" t="s">
        <v>96</v>
      </c>
      <c r="N17" t="s">
        <v>97</v>
      </c>
      <c r="O17" s="16"/>
      <c r="P17" s="1"/>
      <c r="Q17" s="1"/>
      <c r="R17" s="1"/>
      <c r="S17" s="1"/>
      <c r="T17" s="1"/>
    </row>
    <row r="18" spans="1:20" ht="28.8" x14ac:dyDescent="0.3">
      <c r="A18" s="15">
        <f t="shared" si="1"/>
        <v>2.841435185185185E-2</v>
      </c>
      <c r="B18" s="14" t="s">
        <v>55</v>
      </c>
      <c r="C18" s="17">
        <v>2.662037037037037E-3</v>
      </c>
      <c r="D18" s="18">
        <v>4</v>
      </c>
      <c r="E18" s="15">
        <f t="shared" si="0"/>
        <v>4.6296296296296294E-5</v>
      </c>
      <c r="F18" s="15">
        <f>IF(C18&gt;0,C18-E18,"")</f>
        <v>2.6157407407407405E-3</v>
      </c>
      <c r="G18" s="48" t="s">
        <v>120</v>
      </c>
      <c r="H18" t="s">
        <v>21</v>
      </c>
      <c r="I18" t="s">
        <v>27</v>
      </c>
      <c r="J18">
        <v>174</v>
      </c>
      <c r="K18" t="s">
        <v>73</v>
      </c>
      <c r="L18" s="19">
        <v>0.8</v>
      </c>
      <c r="M18" t="s">
        <v>98</v>
      </c>
      <c r="N18" t="s">
        <v>99</v>
      </c>
      <c r="O18" s="16"/>
      <c r="P18" s="1"/>
      <c r="Q18" s="1"/>
      <c r="R18" s="1"/>
      <c r="S18" s="1"/>
      <c r="T18" s="1"/>
    </row>
    <row r="19" spans="1:20" ht="28.8" x14ac:dyDescent="0.3">
      <c r="A19" s="15">
        <f t="shared" si="1"/>
        <v>3.1030092592592592E-2</v>
      </c>
      <c r="B19" s="14" t="s">
        <v>56</v>
      </c>
      <c r="C19" s="17">
        <v>2.5462962962962965E-3</v>
      </c>
      <c r="D19" s="18">
        <v>4</v>
      </c>
      <c r="E19" s="15">
        <f t="shared" ref="E19:E22" si="3">IF(D19&gt;0,D19/86400,"")</f>
        <v>4.6296296296296294E-5</v>
      </c>
      <c r="F19" s="15">
        <f t="shared" ref="F19:F22" si="4">IF(C19&gt;0,C19-E19,"")</f>
        <v>2.5000000000000001E-3</v>
      </c>
      <c r="G19" s="48" t="s">
        <v>121</v>
      </c>
      <c r="H19" t="s">
        <v>25</v>
      </c>
      <c r="I19" t="s">
        <v>23</v>
      </c>
      <c r="J19">
        <v>198</v>
      </c>
      <c r="K19" t="s">
        <v>74</v>
      </c>
      <c r="L19" s="19">
        <v>0.65</v>
      </c>
      <c r="M19" t="s">
        <v>100</v>
      </c>
      <c r="N19" t="s">
        <v>101</v>
      </c>
      <c r="O19" s="16"/>
      <c r="P19" s="1"/>
      <c r="Q19" s="1"/>
      <c r="R19" s="1"/>
      <c r="S19" s="1"/>
      <c r="T19" s="1"/>
    </row>
    <row r="20" spans="1:20" ht="28.8" x14ac:dyDescent="0.3">
      <c r="A20" s="15">
        <f>IF(B19&lt;&gt;"",A19+F19,"")</f>
        <v>3.3530092592592591E-2</v>
      </c>
      <c r="B20" s="14" t="s">
        <v>57</v>
      </c>
      <c r="C20" s="17">
        <v>2.0717592592592593E-3</v>
      </c>
      <c r="D20" s="18">
        <v>4</v>
      </c>
      <c r="E20" s="15">
        <f t="shared" si="3"/>
        <v>4.6296296296296294E-5</v>
      </c>
      <c r="F20" s="15">
        <f t="shared" si="4"/>
        <v>2.0254629629629629E-3</v>
      </c>
      <c r="G20" s="48" t="s">
        <v>122</v>
      </c>
      <c r="H20" t="s">
        <v>26</v>
      </c>
      <c r="I20" t="s">
        <v>22</v>
      </c>
      <c r="J20">
        <v>92</v>
      </c>
      <c r="K20" t="s">
        <v>62</v>
      </c>
      <c r="L20" s="19">
        <v>0.5</v>
      </c>
      <c r="M20" t="s">
        <v>102</v>
      </c>
      <c r="N20" t="s">
        <v>28</v>
      </c>
      <c r="O20" s="16"/>
      <c r="P20" s="1"/>
      <c r="Q20" s="1"/>
      <c r="R20" s="1"/>
      <c r="S20" s="1"/>
      <c r="T20" s="1"/>
    </row>
    <row r="21" spans="1:20" x14ac:dyDescent="0.3">
      <c r="A21" s="15">
        <f>IF(B20&lt;&gt;"",A20+F20,"")</f>
        <v>3.5555555555555556E-2</v>
      </c>
      <c r="B21" s="14" t="s">
        <v>58</v>
      </c>
      <c r="C21" s="17">
        <v>3.0092592592592593E-3</v>
      </c>
      <c r="D21" s="18">
        <v>4</v>
      </c>
      <c r="E21" s="15">
        <f t="shared" si="3"/>
        <v>4.6296296296296294E-5</v>
      </c>
      <c r="F21" s="15">
        <f t="shared" si="4"/>
        <v>2.9629629629629628E-3</v>
      </c>
      <c r="G21" s="48" t="s">
        <v>123</v>
      </c>
      <c r="H21" t="s">
        <v>17</v>
      </c>
      <c r="I21" t="s">
        <v>18</v>
      </c>
      <c r="J21">
        <v>132</v>
      </c>
      <c r="K21" t="s">
        <v>75</v>
      </c>
      <c r="L21" s="19">
        <v>0.35</v>
      </c>
      <c r="M21" t="s">
        <v>41</v>
      </c>
      <c r="N21" t="s">
        <v>103</v>
      </c>
      <c r="O21" s="16"/>
      <c r="P21" s="1"/>
      <c r="Q21" s="1"/>
      <c r="R21" s="1"/>
      <c r="S21" s="1"/>
      <c r="T21" s="1"/>
    </row>
    <row r="22" spans="1:20" x14ac:dyDescent="0.3">
      <c r="A22" s="15">
        <f>IF(B21&lt;&gt;"",A21+F21,"")</f>
        <v>3.8518518518518521E-2</v>
      </c>
      <c r="B22" s="14" t="s">
        <v>59</v>
      </c>
      <c r="C22" s="17">
        <v>2.8124999999999999E-3</v>
      </c>
      <c r="D22" s="18">
        <v>4</v>
      </c>
      <c r="E22" s="15">
        <f t="shared" si="3"/>
        <v>4.6296296296296294E-5</v>
      </c>
      <c r="F22" s="15">
        <f t="shared" si="4"/>
        <v>2.7662037037037034E-3</v>
      </c>
      <c r="G22" s="48" t="s">
        <v>60</v>
      </c>
      <c r="H22" t="s">
        <v>29</v>
      </c>
      <c r="I22" t="s">
        <v>30</v>
      </c>
      <c r="J22">
        <v>90</v>
      </c>
      <c r="K22" t="s">
        <v>76</v>
      </c>
      <c r="L22" s="19">
        <v>0.2</v>
      </c>
      <c r="M22" t="s">
        <v>31</v>
      </c>
      <c r="N22" t="s">
        <v>104</v>
      </c>
      <c r="O22" s="4"/>
      <c r="P22" s="1"/>
      <c r="Q22" s="1"/>
      <c r="R22" s="1"/>
      <c r="S22" s="1"/>
      <c r="T22" s="1"/>
    </row>
    <row r="23" spans="1:20" x14ac:dyDescent="0.3">
      <c r="A23" s="15">
        <f>IF(B22&lt;&gt;"",A22+F22,"")</f>
        <v>4.1284722222222223E-2</v>
      </c>
      <c r="B23" s="23"/>
      <c r="C23" s="12"/>
      <c r="D23" s="5"/>
      <c r="E23" s="7" t="str">
        <f t="shared" si="0"/>
        <v/>
      </c>
      <c r="F23" s="7" t="str">
        <f t="shared" ref="F23:F50" si="5">IF(C23&gt;0,C23-E23,"")</f>
        <v/>
      </c>
      <c r="G23" s="51"/>
      <c r="H23" s="4"/>
      <c r="I23" s="4"/>
      <c r="J23" s="5"/>
      <c r="K23" s="5"/>
      <c r="L23" s="4"/>
      <c r="M23" s="4"/>
      <c r="N23" s="4"/>
      <c r="O23" s="4"/>
      <c r="P23" s="1"/>
      <c r="Q23" s="1"/>
      <c r="R23" s="1"/>
      <c r="S23" s="1"/>
      <c r="T23" s="1"/>
    </row>
    <row r="24" spans="1:20" x14ac:dyDescent="0.3">
      <c r="A24" s="7" t="str">
        <f t="shared" si="1"/>
        <v/>
      </c>
      <c r="B24" s="23"/>
      <c r="C24" s="12"/>
      <c r="D24" s="5"/>
      <c r="E24" s="7" t="str">
        <f t="shared" si="0"/>
        <v/>
      </c>
      <c r="F24" s="7" t="str">
        <f t="shared" si="5"/>
        <v/>
      </c>
      <c r="G24" s="51"/>
      <c r="H24" s="4"/>
      <c r="I24" s="4"/>
      <c r="J24" s="5"/>
      <c r="K24" s="5"/>
      <c r="L24" s="4"/>
      <c r="M24" s="4"/>
      <c r="N24" s="4"/>
      <c r="O24" s="4"/>
      <c r="P24" s="1"/>
      <c r="Q24" s="1"/>
      <c r="R24" s="1"/>
      <c r="S24" s="1"/>
      <c r="T24" s="1"/>
    </row>
    <row r="25" spans="1:20" x14ac:dyDescent="0.3">
      <c r="A25" s="7" t="str">
        <f t="shared" si="1"/>
        <v/>
      </c>
      <c r="B25" s="23"/>
      <c r="C25" s="12"/>
      <c r="D25" s="5"/>
      <c r="E25" s="7" t="str">
        <f t="shared" si="0"/>
        <v/>
      </c>
      <c r="F25" s="7" t="str">
        <f t="shared" si="5"/>
        <v/>
      </c>
      <c r="G25" s="51"/>
      <c r="H25" s="4"/>
      <c r="I25" s="4"/>
      <c r="J25" s="5"/>
      <c r="K25" s="5"/>
      <c r="L25" s="4"/>
      <c r="M25" s="4"/>
      <c r="N25" s="4"/>
      <c r="O25" s="4"/>
      <c r="P25" s="1"/>
      <c r="Q25" s="1"/>
      <c r="R25" s="1"/>
      <c r="S25" s="1"/>
      <c r="T25" s="1"/>
    </row>
    <row r="26" spans="1:20" x14ac:dyDescent="0.3">
      <c r="A26" s="7" t="str">
        <f t="shared" si="1"/>
        <v/>
      </c>
      <c r="B26" s="23"/>
      <c r="C26" s="12"/>
      <c r="D26" s="5"/>
      <c r="E26" s="7" t="str">
        <f t="shared" si="0"/>
        <v/>
      </c>
      <c r="F26" s="7" t="str">
        <f t="shared" si="5"/>
        <v/>
      </c>
      <c r="G26" s="51"/>
      <c r="H26" s="4"/>
      <c r="I26" s="4"/>
      <c r="J26" s="5"/>
      <c r="K26" s="5"/>
      <c r="L26" s="4"/>
      <c r="M26" s="4"/>
      <c r="N26" s="4"/>
      <c r="O26" s="4"/>
      <c r="P26" s="1"/>
      <c r="Q26" s="1"/>
      <c r="R26" s="1"/>
      <c r="S26" s="1"/>
      <c r="T26" s="1"/>
    </row>
    <row r="27" spans="1:20" x14ac:dyDescent="0.3">
      <c r="A27" s="7" t="str">
        <f t="shared" si="1"/>
        <v/>
      </c>
      <c r="B27" s="23"/>
      <c r="C27" s="12"/>
      <c r="D27" s="5"/>
      <c r="E27" s="7" t="str">
        <f t="shared" si="0"/>
        <v/>
      </c>
      <c r="F27" s="7" t="str">
        <f t="shared" si="5"/>
        <v/>
      </c>
      <c r="G27" s="51"/>
      <c r="H27" s="4"/>
      <c r="I27" s="4"/>
      <c r="J27" s="5"/>
      <c r="K27" s="5"/>
      <c r="L27" s="4"/>
      <c r="M27" s="4"/>
      <c r="N27" s="4"/>
      <c r="O27" s="4"/>
      <c r="P27" s="1"/>
      <c r="Q27" s="1"/>
      <c r="R27" s="1"/>
      <c r="S27" s="1"/>
      <c r="T27" s="1"/>
    </row>
    <row r="28" spans="1:20" x14ac:dyDescent="0.3">
      <c r="A28" s="7" t="str">
        <f t="shared" si="1"/>
        <v/>
      </c>
      <c r="B28" s="23"/>
      <c r="C28" s="12"/>
      <c r="D28" s="5"/>
      <c r="E28" s="7" t="str">
        <f t="shared" si="0"/>
        <v/>
      </c>
      <c r="F28" s="7" t="str">
        <f t="shared" si="5"/>
        <v/>
      </c>
      <c r="G28" s="51"/>
      <c r="H28" s="4"/>
      <c r="I28" s="4"/>
      <c r="J28" s="5"/>
      <c r="K28" s="5"/>
      <c r="L28" s="4"/>
      <c r="M28" s="4"/>
      <c r="N28" s="4"/>
      <c r="O28" s="4"/>
      <c r="P28" s="1"/>
      <c r="Q28" s="1"/>
      <c r="R28" s="1"/>
      <c r="S28" s="1"/>
      <c r="T28" s="1"/>
    </row>
    <row r="29" spans="1:20" x14ac:dyDescent="0.3">
      <c r="A29" s="7" t="str">
        <f t="shared" si="1"/>
        <v/>
      </c>
      <c r="B29" s="23"/>
      <c r="C29" s="12"/>
      <c r="D29" s="5"/>
      <c r="E29" s="7" t="str">
        <f t="shared" si="0"/>
        <v/>
      </c>
      <c r="F29" s="7" t="str">
        <f t="shared" si="5"/>
        <v/>
      </c>
      <c r="G29" s="51"/>
      <c r="H29" s="4"/>
      <c r="I29" s="4"/>
      <c r="J29" s="5"/>
      <c r="K29" s="5"/>
      <c r="L29" s="8"/>
      <c r="M29" s="4"/>
      <c r="N29" s="4"/>
      <c r="O29" s="4"/>
      <c r="P29" s="1"/>
      <c r="Q29" s="1"/>
      <c r="R29" s="1"/>
      <c r="S29" s="1"/>
      <c r="T29" s="1"/>
    </row>
    <row r="30" spans="1:20" ht="3.6" customHeight="1" x14ac:dyDescent="0.3">
      <c r="A30" s="7" t="str">
        <f t="shared" si="1"/>
        <v/>
      </c>
      <c r="B30" s="23"/>
      <c r="C30" s="12"/>
      <c r="D30" s="5"/>
      <c r="E30" s="7" t="str">
        <f t="shared" si="0"/>
        <v/>
      </c>
      <c r="F30" s="7" t="str">
        <f t="shared" si="5"/>
        <v/>
      </c>
      <c r="G30" s="51"/>
      <c r="H30" s="4"/>
      <c r="I30" s="4"/>
      <c r="J30" s="5"/>
      <c r="K30" s="5"/>
      <c r="L30" s="4"/>
      <c r="M30" s="4"/>
      <c r="N30" s="4"/>
      <c r="O30" s="4"/>
      <c r="P30" s="1"/>
      <c r="Q30" s="1"/>
      <c r="R30" s="1"/>
      <c r="S30" s="1"/>
      <c r="T30" s="1"/>
    </row>
    <row r="31" spans="1:20" x14ac:dyDescent="0.3">
      <c r="A31" s="7" t="str">
        <f t="shared" si="1"/>
        <v/>
      </c>
      <c r="B31" s="23"/>
      <c r="C31" s="12"/>
      <c r="D31" s="5"/>
      <c r="E31" s="7" t="str">
        <f t="shared" si="0"/>
        <v/>
      </c>
      <c r="F31" s="7" t="str">
        <f t="shared" si="5"/>
        <v/>
      </c>
      <c r="G31" s="51"/>
      <c r="I31" s="4"/>
      <c r="J31" s="5"/>
      <c r="K31" s="5"/>
      <c r="L31" s="4"/>
      <c r="M31" s="4"/>
      <c r="N31" s="4"/>
      <c r="O31" s="4"/>
      <c r="P31" s="1"/>
      <c r="Q31" s="1"/>
      <c r="R31" s="1"/>
      <c r="S31" s="1"/>
      <c r="T31" s="1"/>
    </row>
    <row r="32" spans="1:20" x14ac:dyDescent="0.3">
      <c r="A32" s="7" t="str">
        <f t="shared" si="1"/>
        <v/>
      </c>
      <c r="B32" s="23"/>
      <c r="C32" s="12"/>
      <c r="D32" s="5"/>
      <c r="E32" s="7" t="str">
        <f t="shared" si="0"/>
        <v/>
      </c>
      <c r="F32" s="7" t="str">
        <f t="shared" si="5"/>
        <v/>
      </c>
      <c r="G32" s="51"/>
      <c r="H32" s="4"/>
      <c r="I32" s="4"/>
      <c r="J32" s="5"/>
      <c r="K32" s="5"/>
      <c r="L32" s="4"/>
      <c r="M32" s="4"/>
      <c r="N32" s="4"/>
      <c r="O32" s="4"/>
      <c r="P32" s="1"/>
      <c r="Q32" s="1"/>
      <c r="R32" s="1"/>
      <c r="S32" s="1"/>
      <c r="T32" s="1"/>
    </row>
    <row r="33" spans="1:20" x14ac:dyDescent="0.3">
      <c r="A33" s="7" t="str">
        <f t="shared" si="1"/>
        <v/>
      </c>
      <c r="B33" s="23"/>
      <c r="C33" s="12"/>
      <c r="D33" s="5"/>
      <c r="E33" s="7" t="str">
        <f t="shared" si="0"/>
        <v/>
      </c>
      <c r="F33" s="7" t="str">
        <f t="shared" si="5"/>
        <v/>
      </c>
      <c r="G33" s="51"/>
      <c r="H33" s="4"/>
      <c r="I33" s="4"/>
      <c r="J33" s="5"/>
      <c r="K33" s="5"/>
      <c r="L33" s="4"/>
      <c r="M33" s="4"/>
      <c r="N33" s="4"/>
      <c r="O33" s="4"/>
      <c r="P33" s="1"/>
      <c r="Q33" s="1"/>
      <c r="R33" s="1"/>
      <c r="S33" s="1"/>
      <c r="T33" s="1"/>
    </row>
    <row r="34" spans="1:20" x14ac:dyDescent="0.3">
      <c r="A34" s="7" t="str">
        <f t="shared" si="1"/>
        <v/>
      </c>
      <c r="B34" s="23"/>
      <c r="C34" s="12"/>
      <c r="D34" s="5"/>
      <c r="E34" s="7" t="str">
        <f t="shared" si="0"/>
        <v/>
      </c>
      <c r="F34" s="7" t="str">
        <f t="shared" si="5"/>
        <v/>
      </c>
      <c r="G34" s="51"/>
      <c r="H34" s="4"/>
      <c r="I34" s="4"/>
      <c r="J34" s="5"/>
      <c r="K34" s="5"/>
      <c r="L34" s="4"/>
      <c r="M34" s="4"/>
      <c r="N34" s="4"/>
      <c r="O34" s="4"/>
      <c r="P34" s="1"/>
      <c r="Q34" s="1"/>
      <c r="R34" s="1"/>
      <c r="S34" s="1"/>
      <c r="T34" s="1"/>
    </row>
    <row r="35" spans="1:20" x14ac:dyDescent="0.3">
      <c r="A35" s="7" t="str">
        <f t="shared" si="1"/>
        <v/>
      </c>
      <c r="B35" s="23"/>
      <c r="C35" s="12"/>
      <c r="D35" s="5"/>
      <c r="E35" s="7" t="str">
        <f t="shared" si="0"/>
        <v/>
      </c>
      <c r="F35" s="7" t="str">
        <f t="shared" si="5"/>
        <v/>
      </c>
      <c r="G35" s="51"/>
      <c r="H35" s="4"/>
      <c r="I35" s="4"/>
      <c r="J35" s="5"/>
      <c r="K35" s="5"/>
      <c r="L35" s="4"/>
      <c r="M35" s="4"/>
      <c r="N35" s="4"/>
      <c r="O35" s="4"/>
      <c r="P35" s="1"/>
      <c r="Q35" s="1"/>
      <c r="R35" s="1"/>
      <c r="S35" s="1"/>
      <c r="T35" s="1"/>
    </row>
    <row r="36" spans="1:20" x14ac:dyDescent="0.3">
      <c r="A36" s="7" t="str">
        <f t="shared" si="1"/>
        <v/>
      </c>
      <c r="B36" s="23"/>
      <c r="C36" s="12"/>
      <c r="D36" s="5"/>
      <c r="E36" s="7" t="str">
        <f t="shared" si="0"/>
        <v/>
      </c>
      <c r="F36" s="7" t="str">
        <f t="shared" si="5"/>
        <v/>
      </c>
      <c r="G36" s="51"/>
      <c r="H36" s="4"/>
      <c r="I36" s="4"/>
      <c r="J36" s="5"/>
      <c r="K36" s="5"/>
      <c r="L36" s="4"/>
      <c r="M36" s="4"/>
      <c r="N36" s="4"/>
      <c r="O36" s="4"/>
      <c r="P36" s="1"/>
      <c r="Q36" s="1"/>
      <c r="R36" s="1"/>
      <c r="S36" s="1"/>
      <c r="T36" s="1"/>
    </row>
    <row r="37" spans="1:20" x14ac:dyDescent="0.3">
      <c r="A37" s="7" t="str">
        <f t="shared" si="1"/>
        <v/>
      </c>
      <c r="B37" s="23"/>
      <c r="C37" s="12"/>
      <c r="D37" s="5"/>
      <c r="E37" s="7" t="str">
        <f t="shared" si="0"/>
        <v/>
      </c>
      <c r="F37" s="7" t="str">
        <f t="shared" si="5"/>
        <v/>
      </c>
      <c r="G37" s="51"/>
      <c r="H37" s="4"/>
      <c r="I37" s="4"/>
      <c r="J37" s="5"/>
      <c r="K37" s="5"/>
      <c r="L37" s="4"/>
      <c r="M37" s="4"/>
      <c r="N37" s="4"/>
      <c r="O37" s="4"/>
      <c r="P37" s="1"/>
      <c r="Q37" s="1"/>
      <c r="R37" s="1"/>
      <c r="S37" s="1"/>
      <c r="T37" s="1"/>
    </row>
    <row r="38" spans="1:20" x14ac:dyDescent="0.3">
      <c r="A38" s="7" t="str">
        <f t="shared" si="1"/>
        <v/>
      </c>
      <c r="B38" s="23"/>
      <c r="C38" s="12"/>
      <c r="D38" s="5"/>
      <c r="E38" s="7" t="str">
        <f t="shared" si="0"/>
        <v/>
      </c>
      <c r="F38" s="7" t="str">
        <f t="shared" si="5"/>
        <v/>
      </c>
      <c r="G38" s="51"/>
      <c r="H38" s="4"/>
      <c r="I38" s="4"/>
      <c r="J38" s="5"/>
      <c r="K38" s="5"/>
      <c r="L38" s="4"/>
      <c r="M38" s="4"/>
      <c r="N38" s="4"/>
      <c r="O38" s="4"/>
      <c r="P38" s="1"/>
      <c r="Q38" s="1"/>
      <c r="R38" s="1"/>
      <c r="S38" s="1"/>
      <c r="T38" s="1"/>
    </row>
    <row r="39" spans="1:20" x14ac:dyDescent="0.3">
      <c r="A39" s="7" t="str">
        <f t="shared" si="1"/>
        <v/>
      </c>
      <c r="B39" s="23"/>
      <c r="C39" s="12"/>
      <c r="D39" s="5"/>
      <c r="E39" s="7" t="str">
        <f t="shared" si="0"/>
        <v/>
      </c>
      <c r="F39" s="7" t="str">
        <f t="shared" si="5"/>
        <v/>
      </c>
      <c r="G39" s="51"/>
      <c r="H39" s="4"/>
      <c r="I39" s="4"/>
      <c r="J39" s="5"/>
      <c r="K39" s="5"/>
      <c r="L39" s="4"/>
      <c r="M39" s="4"/>
      <c r="N39" s="4"/>
      <c r="O39" s="4"/>
      <c r="P39" s="1"/>
      <c r="Q39" s="1"/>
      <c r="R39" s="1"/>
      <c r="S39" s="1"/>
      <c r="T39" s="1"/>
    </row>
    <row r="40" spans="1:20" x14ac:dyDescent="0.3">
      <c r="A40" s="7" t="str">
        <f t="shared" si="1"/>
        <v/>
      </c>
      <c r="B40" s="23"/>
      <c r="C40" s="12"/>
      <c r="D40" s="5"/>
      <c r="E40" s="7" t="str">
        <f t="shared" si="0"/>
        <v/>
      </c>
      <c r="F40" s="7" t="str">
        <f t="shared" si="5"/>
        <v/>
      </c>
      <c r="G40" s="51"/>
      <c r="H40" s="4"/>
      <c r="I40" s="4"/>
      <c r="J40" s="5"/>
      <c r="K40" s="5"/>
      <c r="L40" s="4"/>
      <c r="M40" s="4"/>
      <c r="N40" s="4"/>
      <c r="O40" s="4"/>
      <c r="P40" s="1"/>
      <c r="Q40" s="1"/>
      <c r="R40" s="1"/>
      <c r="S40" s="1"/>
      <c r="T40" s="1"/>
    </row>
    <row r="41" spans="1:20" x14ac:dyDescent="0.3">
      <c r="A41" s="7" t="str">
        <f t="shared" si="1"/>
        <v/>
      </c>
      <c r="B41" s="23"/>
      <c r="C41" s="12"/>
      <c r="D41" s="5"/>
      <c r="E41" s="7" t="str">
        <f t="shared" si="0"/>
        <v/>
      </c>
      <c r="F41" s="7" t="str">
        <f t="shared" si="5"/>
        <v/>
      </c>
      <c r="G41" s="51"/>
      <c r="H41" s="4"/>
      <c r="I41" s="4"/>
      <c r="J41" s="5"/>
      <c r="K41" s="5"/>
      <c r="L41" s="4"/>
      <c r="M41" s="4"/>
      <c r="N41" s="4"/>
      <c r="O41" s="4"/>
      <c r="P41" s="1"/>
      <c r="Q41" s="1"/>
      <c r="R41" s="1"/>
      <c r="S41" s="1"/>
      <c r="T41" s="1"/>
    </row>
    <row r="42" spans="1:20" x14ac:dyDescent="0.3">
      <c r="A42" s="7" t="str">
        <f t="shared" si="1"/>
        <v/>
      </c>
      <c r="B42" s="23"/>
      <c r="C42" s="12"/>
      <c r="D42" s="5"/>
      <c r="E42" s="7" t="str">
        <f t="shared" si="0"/>
        <v/>
      </c>
      <c r="F42" s="7" t="str">
        <f t="shared" si="5"/>
        <v/>
      </c>
      <c r="G42" s="51"/>
      <c r="H42" s="4"/>
      <c r="I42" s="4"/>
      <c r="J42" s="5"/>
      <c r="K42" s="5"/>
      <c r="L42" s="4"/>
      <c r="M42" s="4"/>
      <c r="N42" s="4"/>
      <c r="O42" s="4"/>
      <c r="P42" s="1"/>
      <c r="Q42" s="1"/>
      <c r="R42" s="1"/>
      <c r="S42" s="1"/>
      <c r="T42" s="1"/>
    </row>
    <row r="43" spans="1:20" x14ac:dyDescent="0.3">
      <c r="A43" s="7" t="str">
        <f t="shared" si="1"/>
        <v/>
      </c>
      <c r="B43" s="23"/>
      <c r="C43" s="12"/>
      <c r="D43" s="5"/>
      <c r="E43" s="7" t="str">
        <f t="shared" si="0"/>
        <v/>
      </c>
      <c r="F43" s="7" t="str">
        <f t="shared" si="5"/>
        <v/>
      </c>
      <c r="G43" s="51"/>
      <c r="H43" s="4"/>
      <c r="I43" s="4"/>
      <c r="J43" s="5"/>
      <c r="K43" s="5"/>
      <c r="L43" s="4"/>
      <c r="M43" s="4"/>
      <c r="N43" s="4"/>
      <c r="O43" s="4"/>
      <c r="P43" s="1"/>
      <c r="Q43" s="1"/>
      <c r="R43" s="1"/>
      <c r="S43" s="1"/>
      <c r="T43" s="1"/>
    </row>
    <row r="44" spans="1:20" x14ac:dyDescent="0.3">
      <c r="A44" s="7" t="str">
        <f t="shared" si="1"/>
        <v/>
      </c>
      <c r="B44" s="23"/>
      <c r="C44" s="12"/>
      <c r="D44" s="5"/>
      <c r="E44" s="7" t="str">
        <f t="shared" si="0"/>
        <v/>
      </c>
      <c r="F44" s="7" t="str">
        <f t="shared" si="5"/>
        <v/>
      </c>
      <c r="G44" s="51"/>
      <c r="H44" s="4"/>
      <c r="I44" s="4"/>
      <c r="J44" s="5"/>
      <c r="K44" s="5"/>
      <c r="L44" s="4"/>
      <c r="M44" s="4"/>
      <c r="N44" s="4"/>
      <c r="O44" s="4"/>
      <c r="P44" s="1"/>
      <c r="Q44" s="1"/>
      <c r="R44" s="1"/>
      <c r="S44" s="1"/>
      <c r="T44" s="1"/>
    </row>
    <row r="45" spans="1:20" x14ac:dyDescent="0.3">
      <c r="A45" s="7" t="str">
        <f t="shared" si="1"/>
        <v/>
      </c>
      <c r="B45" s="23"/>
      <c r="C45" s="12"/>
      <c r="D45" s="5"/>
      <c r="E45" s="7" t="str">
        <f t="shared" si="0"/>
        <v/>
      </c>
      <c r="F45" s="7" t="str">
        <f t="shared" si="5"/>
        <v/>
      </c>
      <c r="G45" s="51"/>
      <c r="H45" s="4"/>
      <c r="I45" s="4"/>
      <c r="J45" s="5"/>
      <c r="K45" s="5"/>
      <c r="L45" s="4"/>
      <c r="M45" s="4"/>
      <c r="N45" s="4"/>
      <c r="O45" s="4"/>
      <c r="P45" s="1"/>
      <c r="Q45" s="1"/>
      <c r="R45" s="1"/>
      <c r="S45" s="1"/>
      <c r="T45" s="1"/>
    </row>
    <row r="46" spans="1:20" x14ac:dyDescent="0.3">
      <c r="A46" s="7" t="str">
        <f t="shared" si="1"/>
        <v/>
      </c>
      <c r="B46" s="23"/>
      <c r="C46" s="12"/>
      <c r="D46" s="5"/>
      <c r="E46" s="7" t="str">
        <f t="shared" si="0"/>
        <v/>
      </c>
      <c r="F46" s="7" t="str">
        <f t="shared" si="5"/>
        <v/>
      </c>
      <c r="G46" s="51"/>
      <c r="H46" s="4"/>
      <c r="I46" s="4"/>
      <c r="J46" s="5"/>
      <c r="K46" s="5"/>
      <c r="L46" s="4"/>
      <c r="M46" s="4"/>
      <c r="N46" s="4"/>
      <c r="O46" s="4"/>
      <c r="P46" s="1"/>
      <c r="Q46" s="1"/>
      <c r="R46" s="1"/>
      <c r="S46" s="1"/>
      <c r="T46" s="1"/>
    </row>
    <row r="47" spans="1:20" x14ac:dyDescent="0.3">
      <c r="A47" s="7" t="str">
        <f t="shared" si="1"/>
        <v/>
      </c>
      <c r="B47" s="23"/>
      <c r="C47" s="12"/>
      <c r="D47" s="5"/>
      <c r="E47" s="7" t="str">
        <f t="shared" si="0"/>
        <v/>
      </c>
      <c r="F47" s="7" t="str">
        <f t="shared" si="5"/>
        <v/>
      </c>
      <c r="G47" s="51"/>
      <c r="H47" s="4"/>
      <c r="I47" s="4"/>
      <c r="J47" s="5"/>
      <c r="K47" s="5"/>
      <c r="L47" s="4"/>
      <c r="M47" s="4"/>
      <c r="N47" s="4"/>
      <c r="O47" s="4"/>
      <c r="P47" s="1"/>
      <c r="Q47" s="1"/>
      <c r="R47" s="1"/>
      <c r="S47" s="1"/>
      <c r="T47" s="1"/>
    </row>
    <row r="48" spans="1:20" x14ac:dyDescent="0.3">
      <c r="A48" s="7" t="str">
        <f t="shared" si="1"/>
        <v/>
      </c>
      <c r="B48" s="23"/>
      <c r="C48" s="12"/>
      <c r="D48" s="5"/>
      <c r="E48" s="7" t="str">
        <f t="shared" si="0"/>
        <v/>
      </c>
      <c r="F48" s="7" t="str">
        <f t="shared" si="5"/>
        <v/>
      </c>
      <c r="G48" s="51"/>
      <c r="H48" s="4"/>
      <c r="I48" s="4"/>
      <c r="J48" s="5"/>
      <c r="K48" s="5"/>
      <c r="L48" s="4"/>
      <c r="M48" s="4"/>
      <c r="N48" s="4"/>
      <c r="O48" s="4"/>
      <c r="P48" s="1"/>
      <c r="Q48" s="1"/>
      <c r="R48" s="1"/>
      <c r="S48" s="1"/>
      <c r="T48" s="1"/>
    </row>
    <row r="49" spans="1:20" x14ac:dyDescent="0.3">
      <c r="A49" s="7" t="str">
        <f t="shared" si="1"/>
        <v/>
      </c>
      <c r="B49" s="23"/>
      <c r="C49" s="12"/>
      <c r="D49" s="5"/>
      <c r="E49" s="7" t="str">
        <f t="shared" si="0"/>
        <v/>
      </c>
      <c r="F49" s="7" t="str">
        <f t="shared" si="5"/>
        <v/>
      </c>
      <c r="G49" s="51"/>
      <c r="H49" s="4"/>
      <c r="I49" s="4"/>
      <c r="J49" s="5"/>
      <c r="K49" s="5"/>
      <c r="L49" s="4"/>
      <c r="M49" s="4"/>
      <c r="N49" s="4"/>
      <c r="O49" s="4"/>
      <c r="P49" s="1"/>
      <c r="Q49" s="1"/>
      <c r="R49" s="1"/>
      <c r="S49" s="1"/>
      <c r="T49" s="1"/>
    </row>
    <row r="50" spans="1:20" x14ac:dyDescent="0.3">
      <c r="A50" s="7" t="str">
        <f t="shared" si="1"/>
        <v/>
      </c>
      <c r="B50" s="23"/>
      <c r="C50" s="12"/>
      <c r="D50" s="5"/>
      <c r="E50" s="7" t="str">
        <f t="shared" si="0"/>
        <v/>
      </c>
      <c r="F50" s="7" t="str">
        <f t="shared" si="5"/>
        <v/>
      </c>
      <c r="G50" s="51"/>
      <c r="H50" s="4"/>
      <c r="I50" s="4"/>
      <c r="J50" s="5"/>
      <c r="K50" s="5"/>
      <c r="L50" s="4"/>
      <c r="M50" s="4"/>
      <c r="N50" s="4"/>
      <c r="O50" s="4"/>
      <c r="P50" s="1"/>
      <c r="Q50" s="1"/>
      <c r="R50" s="1"/>
      <c r="S50" s="1"/>
      <c r="T50" s="1"/>
    </row>
    <row r="51" spans="1:20" x14ac:dyDescent="0.3">
      <c r="P51" s="1"/>
      <c r="Q51" s="1"/>
      <c r="R51" s="1"/>
      <c r="S51" s="1"/>
      <c r="T51" s="1"/>
    </row>
    <row r="52" spans="1:20" x14ac:dyDescent="0.3">
      <c r="P52" s="1"/>
      <c r="Q52" s="1"/>
      <c r="R52" s="1"/>
      <c r="S52" s="1"/>
      <c r="T52" s="1"/>
    </row>
    <row r="53" spans="1:20" x14ac:dyDescent="0.3">
      <c r="P53" s="1"/>
      <c r="Q53" s="1"/>
      <c r="R53" s="1"/>
      <c r="S53" s="1"/>
      <c r="T53" s="1"/>
    </row>
    <row r="54" spans="1:20" x14ac:dyDescent="0.3">
      <c r="P54" s="1"/>
      <c r="Q54" s="1"/>
      <c r="R54" s="1"/>
      <c r="S54" s="1"/>
      <c r="T54" s="1"/>
    </row>
    <row r="55" spans="1:20" x14ac:dyDescent="0.3">
      <c r="P55" s="1"/>
      <c r="Q55" s="1"/>
      <c r="R55" s="1"/>
      <c r="S55" s="1"/>
      <c r="T55" s="1"/>
    </row>
    <row r="56" spans="1:20" x14ac:dyDescent="0.3">
      <c r="P56" s="1"/>
      <c r="Q56" s="1"/>
      <c r="R56" s="1"/>
      <c r="S56" s="1"/>
      <c r="T56" s="1"/>
    </row>
    <row r="57" spans="1:20" x14ac:dyDescent="0.3">
      <c r="P57" s="1"/>
      <c r="Q57" s="1"/>
      <c r="R57" s="1"/>
      <c r="S57" s="1"/>
      <c r="T57" s="1"/>
    </row>
    <row r="58" spans="1:20" x14ac:dyDescent="0.3">
      <c r="P58" s="1"/>
      <c r="Q58" s="1"/>
      <c r="R58" s="1"/>
      <c r="S58" s="1"/>
      <c r="T58" s="1"/>
    </row>
    <row r="59" spans="1:20" x14ac:dyDescent="0.3">
      <c r="P59" s="1"/>
      <c r="Q59" s="1"/>
      <c r="R59" s="1"/>
      <c r="S59" s="1"/>
      <c r="T59" s="1"/>
    </row>
    <row r="60" spans="1:20" x14ac:dyDescent="0.3">
      <c r="P60" s="1"/>
      <c r="Q60" s="1"/>
      <c r="R60" s="1"/>
      <c r="S60" s="1"/>
      <c r="T60" s="1"/>
    </row>
    <row r="61" spans="1:20" x14ac:dyDescent="0.3">
      <c r="P61" s="1"/>
      <c r="Q61" s="1"/>
      <c r="R61" s="1"/>
      <c r="S61" s="1"/>
      <c r="T61" s="1"/>
    </row>
    <row r="62" spans="1:20" x14ac:dyDescent="0.3">
      <c r="P62" s="1"/>
      <c r="Q62" s="1"/>
      <c r="R62" s="1"/>
      <c r="S62" s="1"/>
      <c r="T62" s="1"/>
    </row>
    <row r="63" spans="1:20" x14ac:dyDescent="0.3">
      <c r="P63" s="1"/>
      <c r="Q63" s="1"/>
      <c r="R63" s="1"/>
      <c r="S63" s="1"/>
      <c r="T63" s="1"/>
    </row>
    <row r="64" spans="1:20" x14ac:dyDescent="0.3">
      <c r="P64" s="1"/>
      <c r="Q64" s="1"/>
      <c r="R64" s="1"/>
      <c r="S64" s="1"/>
      <c r="T64" s="1"/>
    </row>
    <row r="65" spans="16:20" x14ac:dyDescent="0.3">
      <c r="P65" s="1"/>
      <c r="Q65" s="1"/>
      <c r="R65" s="1"/>
      <c r="S65" s="1"/>
      <c r="T65" s="1"/>
    </row>
    <row r="66" spans="16:20" x14ac:dyDescent="0.3">
      <c r="P66" s="1"/>
      <c r="Q66" s="1"/>
      <c r="R66" s="1"/>
      <c r="S66" s="1"/>
      <c r="T66" s="1"/>
    </row>
    <row r="67" spans="16:20" x14ac:dyDescent="0.3">
      <c r="P67" s="1"/>
      <c r="Q67" s="1"/>
      <c r="R67" s="1"/>
      <c r="S67" s="1"/>
      <c r="T67" s="1"/>
    </row>
    <row r="68" spans="16:20" x14ac:dyDescent="0.3">
      <c r="P68" s="1"/>
      <c r="Q68" s="1"/>
      <c r="R68" s="1"/>
      <c r="S68" s="1"/>
      <c r="T68" s="1"/>
    </row>
    <row r="69" spans="16:20" x14ac:dyDescent="0.3">
      <c r="P69" s="1"/>
      <c r="Q69" s="1"/>
      <c r="R69" s="1"/>
      <c r="S69" s="1"/>
      <c r="T69" s="1"/>
    </row>
    <row r="70" spans="16:20" x14ac:dyDescent="0.3">
      <c r="P70" s="1"/>
      <c r="Q70" s="1"/>
      <c r="R70" s="1"/>
      <c r="S70" s="1"/>
      <c r="T70" s="1"/>
    </row>
    <row r="71" spans="16:20" x14ac:dyDescent="0.3">
      <c r="P71" s="1"/>
      <c r="Q71" s="1"/>
      <c r="R71" s="1"/>
      <c r="S71" s="1"/>
      <c r="T71" s="1"/>
    </row>
    <row r="72" spans="16:20" x14ac:dyDescent="0.3">
      <c r="P72" s="1"/>
      <c r="Q72" s="1"/>
      <c r="R72" s="1"/>
      <c r="S72" s="1"/>
      <c r="T72" s="1"/>
    </row>
    <row r="73" spans="16:20" x14ac:dyDescent="0.3">
      <c r="P73" s="1"/>
      <c r="Q73" s="1"/>
      <c r="R73" s="1"/>
      <c r="S73" s="1"/>
      <c r="T73" s="1"/>
    </row>
    <row r="74" spans="16:20" x14ac:dyDescent="0.3">
      <c r="P74" s="1"/>
      <c r="Q74" s="1"/>
      <c r="R74" s="1"/>
      <c r="S74" s="1"/>
      <c r="T74" s="1"/>
    </row>
    <row r="75" spans="16:20" x14ac:dyDescent="0.3">
      <c r="P75" s="1"/>
      <c r="Q75" s="1"/>
      <c r="R75" s="1"/>
      <c r="S75" s="1"/>
      <c r="T75" s="1"/>
    </row>
    <row r="76" spans="16:20" x14ac:dyDescent="0.3">
      <c r="P76" s="1"/>
      <c r="Q76" s="1"/>
      <c r="R76" s="1"/>
      <c r="S76" s="1"/>
      <c r="T76" s="1"/>
    </row>
    <row r="77" spans="16:20" x14ac:dyDescent="0.3">
      <c r="P77" s="1"/>
      <c r="Q77" s="1"/>
      <c r="R77" s="1"/>
      <c r="S77" s="1"/>
      <c r="T77" s="1"/>
    </row>
    <row r="78" spans="16:20" x14ac:dyDescent="0.3">
      <c r="P78" s="1"/>
      <c r="Q78" s="1"/>
      <c r="R78" s="1"/>
      <c r="S78" s="1"/>
      <c r="T78" s="1"/>
    </row>
    <row r="79" spans="16:20" x14ac:dyDescent="0.3">
      <c r="P79" s="1"/>
      <c r="Q79" s="1"/>
      <c r="R79" s="1"/>
      <c r="S79" s="1"/>
      <c r="T79" s="1"/>
    </row>
    <row r="80" spans="16:20" x14ac:dyDescent="0.3">
      <c r="P80" s="1"/>
      <c r="Q80" s="1"/>
      <c r="R80" s="1"/>
      <c r="S80" s="1"/>
      <c r="T80" s="1"/>
    </row>
    <row r="81" spans="16:20" x14ac:dyDescent="0.3">
      <c r="P81" s="1"/>
      <c r="Q81" s="1"/>
      <c r="R81" s="1"/>
      <c r="S81" s="1"/>
      <c r="T81" s="1"/>
    </row>
    <row r="82" spans="16:20" x14ac:dyDescent="0.3">
      <c r="P82" s="1"/>
      <c r="Q82" s="1"/>
      <c r="R82" s="1"/>
      <c r="S82" s="1"/>
      <c r="T82" s="1"/>
    </row>
    <row r="83" spans="16:20" x14ac:dyDescent="0.3">
      <c r="P83" s="1"/>
      <c r="Q83" s="1"/>
      <c r="R83" s="1"/>
      <c r="S83" s="1"/>
      <c r="T83" s="1"/>
    </row>
    <row r="84" spans="16:20" x14ac:dyDescent="0.3">
      <c r="P84" s="1"/>
      <c r="Q84" s="1"/>
      <c r="R84" s="1"/>
      <c r="S84" s="1"/>
      <c r="T84" s="1"/>
    </row>
    <row r="85" spans="16:20" x14ac:dyDescent="0.3">
      <c r="P85" s="1"/>
      <c r="Q85" s="1"/>
      <c r="R85" s="1"/>
      <c r="S85" s="1"/>
      <c r="T85" s="1"/>
    </row>
    <row r="86" spans="16:20" x14ac:dyDescent="0.3">
      <c r="P86" s="1"/>
      <c r="Q86" s="1"/>
      <c r="R86" s="1"/>
      <c r="S86" s="1"/>
      <c r="T86" s="1"/>
    </row>
    <row r="87" spans="16:20" x14ac:dyDescent="0.3">
      <c r="P87" s="1"/>
      <c r="Q87" s="1"/>
      <c r="R87" s="1"/>
      <c r="S87" s="1"/>
      <c r="T87" s="1"/>
    </row>
    <row r="88" spans="16:20" x14ac:dyDescent="0.3">
      <c r="P88" s="1"/>
      <c r="Q88" s="1"/>
      <c r="R88" s="1"/>
      <c r="S88" s="1"/>
      <c r="T88" s="1"/>
    </row>
    <row r="89" spans="16:20" x14ac:dyDescent="0.3">
      <c r="P89" s="1"/>
      <c r="Q89" s="1"/>
      <c r="R89" s="1"/>
      <c r="S89" s="1"/>
      <c r="T89" s="1"/>
    </row>
    <row r="90" spans="16:20" x14ac:dyDescent="0.3">
      <c r="P90" s="1"/>
      <c r="Q90" s="1"/>
      <c r="R90" s="1"/>
      <c r="S90" s="1"/>
      <c r="T90" s="1"/>
    </row>
    <row r="91" spans="16:20" x14ac:dyDescent="0.3">
      <c r="P91" s="1"/>
      <c r="Q91" s="1"/>
      <c r="R91" s="1"/>
      <c r="S91" s="1"/>
      <c r="T91" s="1"/>
    </row>
    <row r="92" spans="16:20" x14ac:dyDescent="0.3">
      <c r="P92" s="1"/>
      <c r="Q92" s="1"/>
      <c r="R92" s="1"/>
      <c r="S92" s="1"/>
      <c r="T92" s="1"/>
    </row>
    <row r="93" spans="16:20" x14ac:dyDescent="0.3">
      <c r="P93" s="1"/>
      <c r="Q93" s="1"/>
      <c r="R93" s="1"/>
      <c r="S93" s="1"/>
      <c r="T93" s="1"/>
    </row>
    <row r="94" spans="16:20" x14ac:dyDescent="0.3">
      <c r="P94" s="1"/>
      <c r="Q94" s="1"/>
      <c r="R94" s="1"/>
      <c r="S94" s="1"/>
      <c r="T94" s="1"/>
    </row>
    <row r="95" spans="16:20" x14ac:dyDescent="0.3">
      <c r="P95" s="1"/>
      <c r="Q95" s="1"/>
      <c r="R95" s="1"/>
      <c r="S95" s="1"/>
      <c r="T95" s="1"/>
    </row>
    <row r="96" spans="16:20" x14ac:dyDescent="0.3">
      <c r="P96" s="1"/>
      <c r="Q96" s="1"/>
      <c r="R96" s="1"/>
      <c r="S96" s="1"/>
      <c r="T96" s="1"/>
    </row>
    <row r="97" spans="16:20" x14ac:dyDescent="0.3">
      <c r="P97" s="1"/>
      <c r="Q97" s="1"/>
      <c r="R97" s="1"/>
      <c r="S97" s="1"/>
      <c r="T97" s="1"/>
    </row>
    <row r="98" spans="16:20" x14ac:dyDescent="0.3">
      <c r="P98" s="1"/>
      <c r="Q98" s="1"/>
      <c r="R98" s="1"/>
      <c r="S98" s="1"/>
      <c r="T98" s="1"/>
    </row>
    <row r="99" spans="16:20" x14ac:dyDescent="0.3">
      <c r="P99" s="1"/>
      <c r="Q99" s="1"/>
      <c r="R99" s="1"/>
      <c r="S99" s="1"/>
      <c r="T99" s="1"/>
    </row>
    <row r="100" spans="16:20" x14ac:dyDescent="0.3">
      <c r="P100" s="1"/>
      <c r="Q100" s="1"/>
      <c r="R100" s="1"/>
      <c r="S100" s="1"/>
      <c r="T100" s="1"/>
    </row>
    <row r="101" spans="16:20" x14ac:dyDescent="0.3">
      <c r="P101" s="1"/>
      <c r="Q101" s="1"/>
      <c r="R101" s="1"/>
      <c r="S101" s="1"/>
      <c r="T101" s="1"/>
    </row>
    <row r="102" spans="16:20" x14ac:dyDescent="0.3">
      <c r="P102" s="1"/>
      <c r="Q102" s="1"/>
      <c r="R102" s="1"/>
      <c r="S102" s="1"/>
      <c r="T102" s="1"/>
    </row>
    <row r="103" spans="16:20" x14ac:dyDescent="0.3">
      <c r="P103" s="1"/>
      <c r="Q103" s="1"/>
      <c r="R103" s="1"/>
      <c r="S103" s="1"/>
      <c r="T103" s="1"/>
    </row>
    <row r="104" spans="16:20" x14ac:dyDescent="0.3">
      <c r="P104" s="1"/>
      <c r="Q104" s="1"/>
      <c r="R104" s="1"/>
      <c r="S104" s="1"/>
      <c r="T104" s="1"/>
    </row>
    <row r="105" spans="16:20" x14ac:dyDescent="0.3">
      <c r="P105" s="1"/>
      <c r="Q105" s="1"/>
      <c r="R105" s="1"/>
      <c r="S105" s="1"/>
      <c r="T105" s="1"/>
    </row>
    <row r="106" spans="16:20" x14ac:dyDescent="0.3">
      <c r="P106" s="1"/>
      <c r="Q106" s="1"/>
      <c r="R106" s="1"/>
      <c r="S106" s="1"/>
      <c r="T106" s="1"/>
    </row>
    <row r="107" spans="16:20" x14ac:dyDescent="0.3">
      <c r="P107" s="1"/>
      <c r="Q107" s="1"/>
      <c r="R107" s="1"/>
      <c r="S107" s="1"/>
      <c r="T107" s="1"/>
    </row>
    <row r="108" spans="16:20" x14ac:dyDescent="0.3">
      <c r="P108" s="1"/>
      <c r="Q108" s="1"/>
      <c r="R108" s="1"/>
      <c r="S108" s="1"/>
      <c r="T108" s="1"/>
    </row>
    <row r="109" spans="16:20" x14ac:dyDescent="0.3">
      <c r="P109" s="1"/>
      <c r="Q109" s="1"/>
      <c r="R109" s="1"/>
      <c r="S109" s="1"/>
      <c r="T109" s="1"/>
    </row>
    <row r="110" spans="16:20" x14ac:dyDescent="0.3">
      <c r="P110" s="1"/>
      <c r="Q110" s="1"/>
      <c r="R110" s="1"/>
      <c r="S110" s="1"/>
      <c r="T110" s="1"/>
    </row>
    <row r="111" spans="16:20" x14ac:dyDescent="0.3">
      <c r="P111" s="1"/>
      <c r="Q111" s="1"/>
      <c r="R111" s="1"/>
      <c r="S111" s="1"/>
      <c r="T111" s="1"/>
    </row>
    <row r="112" spans="16:20" x14ac:dyDescent="0.3">
      <c r="P112" s="1"/>
      <c r="Q112" s="1"/>
      <c r="R112" s="1"/>
      <c r="S112" s="1"/>
      <c r="T112" s="1"/>
    </row>
    <row r="113" spans="16:20" x14ac:dyDescent="0.3">
      <c r="P113" s="1"/>
      <c r="Q113" s="1"/>
      <c r="R113" s="1"/>
      <c r="S113" s="1"/>
      <c r="T113" s="1"/>
    </row>
    <row r="114" spans="16:20" x14ac:dyDescent="0.3">
      <c r="P114" s="1"/>
      <c r="Q114" s="1"/>
      <c r="R114" s="1"/>
      <c r="S114" s="1"/>
      <c r="T114" s="1"/>
    </row>
    <row r="115" spans="16:20" x14ac:dyDescent="0.3">
      <c r="P115" s="1"/>
      <c r="Q115" s="1"/>
      <c r="R115" s="1"/>
      <c r="S115" s="1"/>
      <c r="T115" s="1"/>
    </row>
    <row r="116" spans="16:20" x14ac:dyDescent="0.3">
      <c r="P116" s="1"/>
      <c r="Q116" s="1"/>
      <c r="R116" s="1"/>
      <c r="S116" s="1"/>
      <c r="T116" s="1"/>
    </row>
    <row r="117" spans="16:20" x14ac:dyDescent="0.3">
      <c r="P117" s="1"/>
      <c r="Q117" s="1"/>
      <c r="R117" s="1"/>
      <c r="S117" s="1"/>
      <c r="T117" s="1"/>
    </row>
    <row r="118" spans="16:20" x14ac:dyDescent="0.3">
      <c r="P118" s="1"/>
      <c r="Q118" s="1"/>
      <c r="R118" s="1"/>
      <c r="S118" s="1"/>
      <c r="T118" s="1"/>
    </row>
    <row r="119" spans="16:20" x14ac:dyDescent="0.3">
      <c r="P119" s="1"/>
      <c r="Q119" s="1"/>
      <c r="R119" s="1"/>
      <c r="S119" s="1"/>
      <c r="T119" s="1"/>
    </row>
    <row r="120" spans="16:20" x14ac:dyDescent="0.3">
      <c r="P120" s="1"/>
      <c r="Q120" s="1"/>
      <c r="R120" s="1"/>
      <c r="S120" s="1"/>
      <c r="T120" s="1"/>
    </row>
    <row r="121" spans="16:20" x14ac:dyDescent="0.3">
      <c r="P121" s="1"/>
      <c r="Q121" s="1"/>
      <c r="R121" s="1"/>
      <c r="S121" s="1"/>
      <c r="T121" s="1"/>
    </row>
    <row r="122" spans="16:20" x14ac:dyDescent="0.3">
      <c r="P122" s="1"/>
      <c r="Q122" s="1"/>
      <c r="R122" s="1"/>
      <c r="S122" s="1"/>
      <c r="T122" s="1"/>
    </row>
    <row r="123" spans="16:20" x14ac:dyDescent="0.3">
      <c r="P123" s="1"/>
      <c r="Q123" s="1"/>
      <c r="R123" s="1"/>
      <c r="S123" s="1"/>
      <c r="T123" s="1"/>
    </row>
    <row r="124" spans="16:20" x14ac:dyDescent="0.3">
      <c r="P124" s="1"/>
      <c r="Q124" s="1"/>
      <c r="R124" s="1"/>
      <c r="S124" s="1"/>
      <c r="T124" s="1"/>
    </row>
    <row r="125" spans="16:20" x14ac:dyDescent="0.3">
      <c r="P125" s="1"/>
      <c r="Q125" s="1"/>
      <c r="R125" s="1"/>
      <c r="S125" s="1"/>
      <c r="T125" s="1"/>
    </row>
    <row r="126" spans="16:20" x14ac:dyDescent="0.3">
      <c r="P126" s="1"/>
      <c r="Q126" s="1"/>
      <c r="R126" s="1"/>
      <c r="S126" s="1"/>
      <c r="T126" s="1"/>
    </row>
    <row r="127" spans="16:20" x14ac:dyDescent="0.3">
      <c r="P127" s="1"/>
      <c r="Q127" s="1"/>
      <c r="R127" s="1"/>
      <c r="S127" s="1"/>
      <c r="T127" s="1"/>
    </row>
    <row r="128" spans="16:20" x14ac:dyDescent="0.3">
      <c r="P128" s="1"/>
      <c r="Q128" s="1"/>
      <c r="R128" s="1"/>
      <c r="S128" s="1"/>
      <c r="T128" s="1"/>
    </row>
    <row r="129" spans="16:20" x14ac:dyDescent="0.3">
      <c r="P129" s="1"/>
      <c r="Q129" s="1"/>
      <c r="R129" s="1"/>
      <c r="S129" s="1"/>
      <c r="T129" s="1"/>
    </row>
    <row r="130" spans="16:20" x14ac:dyDescent="0.3">
      <c r="P130" s="1"/>
      <c r="Q130" s="1"/>
      <c r="R130" s="1"/>
      <c r="S130" s="1"/>
      <c r="T130" s="1"/>
    </row>
    <row r="131" spans="16:20" x14ac:dyDescent="0.3">
      <c r="P131" s="1"/>
      <c r="Q131" s="1"/>
      <c r="R131" s="1"/>
      <c r="S131" s="1"/>
      <c r="T131" s="1"/>
    </row>
    <row r="132" spans="16:20" x14ac:dyDescent="0.3">
      <c r="P132" s="1"/>
      <c r="Q132" s="1"/>
      <c r="R132" s="1"/>
      <c r="S132" s="1"/>
      <c r="T132" s="1"/>
    </row>
    <row r="133" spans="16:20" x14ac:dyDescent="0.3">
      <c r="P133" s="1"/>
      <c r="Q133" s="1"/>
      <c r="R133" s="1"/>
      <c r="S133" s="1"/>
      <c r="T133" s="1"/>
    </row>
    <row r="134" spans="16:20" x14ac:dyDescent="0.3">
      <c r="P134" s="1"/>
      <c r="Q134" s="1"/>
      <c r="R134" s="1"/>
      <c r="S134" s="1"/>
      <c r="T134" s="1"/>
    </row>
    <row r="135" spans="16:20" x14ac:dyDescent="0.3">
      <c r="P135" s="1"/>
      <c r="Q135" s="1"/>
      <c r="R135" s="1"/>
      <c r="S135" s="1"/>
      <c r="T135" s="1"/>
    </row>
    <row r="136" spans="16:20" x14ac:dyDescent="0.3">
      <c r="P136" s="1"/>
      <c r="Q136" s="1"/>
      <c r="R136" s="1"/>
      <c r="S136" s="1"/>
      <c r="T136" s="1"/>
    </row>
    <row r="137" spans="16:20" x14ac:dyDescent="0.3">
      <c r="P137" s="1"/>
      <c r="Q137" s="1"/>
      <c r="R137" s="1"/>
      <c r="S137" s="1"/>
      <c r="T137" s="1"/>
    </row>
    <row r="138" spans="16:20" x14ac:dyDescent="0.3">
      <c r="P138" s="1"/>
      <c r="Q138" s="1"/>
      <c r="R138" s="1"/>
      <c r="S138" s="1"/>
      <c r="T138" s="1"/>
    </row>
    <row r="139" spans="16:20" x14ac:dyDescent="0.3">
      <c r="P139" s="1"/>
      <c r="Q139" s="1"/>
      <c r="R139" s="1"/>
      <c r="S139" s="1"/>
      <c r="T139" s="1"/>
    </row>
    <row r="140" spans="16:20" x14ac:dyDescent="0.3">
      <c r="P140" s="1"/>
      <c r="Q140" s="1"/>
      <c r="R140" s="1"/>
      <c r="S140" s="1"/>
      <c r="T140" s="1"/>
    </row>
    <row r="141" spans="16:20" x14ac:dyDescent="0.3">
      <c r="P141" s="1"/>
      <c r="Q141" s="1"/>
      <c r="R141" s="1"/>
      <c r="S141" s="1"/>
      <c r="T141" s="1"/>
    </row>
    <row r="142" spans="16:20" x14ac:dyDescent="0.3">
      <c r="P142" s="1"/>
      <c r="Q142" s="1"/>
      <c r="R142" s="1"/>
      <c r="S142" s="1"/>
      <c r="T142" s="1"/>
    </row>
    <row r="143" spans="16:20" x14ac:dyDescent="0.3">
      <c r="P143" s="1"/>
      <c r="Q143" s="1"/>
      <c r="R143" s="1"/>
      <c r="S143" s="1"/>
      <c r="T143" s="1"/>
    </row>
    <row r="144" spans="16:20" x14ac:dyDescent="0.3">
      <c r="P144" s="1"/>
      <c r="Q144" s="1"/>
      <c r="R144" s="1"/>
      <c r="S144" s="1"/>
      <c r="T144" s="1"/>
    </row>
    <row r="145" spans="16:20" x14ac:dyDescent="0.3">
      <c r="P145" s="1"/>
      <c r="Q145" s="1"/>
      <c r="R145" s="1"/>
      <c r="S145" s="1"/>
      <c r="T145" s="1"/>
    </row>
    <row r="146" spans="16:20" x14ac:dyDescent="0.3">
      <c r="P146" s="1"/>
      <c r="Q146" s="1"/>
      <c r="R146" s="1"/>
      <c r="S146" s="1"/>
      <c r="T146" s="1"/>
    </row>
    <row r="147" spans="16:20" x14ac:dyDescent="0.3">
      <c r="P147" s="1"/>
      <c r="Q147" s="1"/>
      <c r="R147" s="1"/>
      <c r="S147" s="1"/>
      <c r="T147" s="1"/>
    </row>
    <row r="148" spans="16:20" x14ac:dyDescent="0.3">
      <c r="P148" s="1"/>
      <c r="Q148" s="1"/>
      <c r="R148" s="1"/>
      <c r="S148" s="1"/>
      <c r="T148" s="1"/>
    </row>
    <row r="149" spans="16:20" x14ac:dyDescent="0.3">
      <c r="P149" s="1"/>
      <c r="Q149" s="1"/>
      <c r="R149" s="1"/>
      <c r="S149" s="1"/>
      <c r="T149" s="1"/>
    </row>
    <row r="150" spans="16:20" x14ac:dyDescent="0.3">
      <c r="P150" s="1"/>
      <c r="Q150" s="1"/>
      <c r="R150" s="1"/>
      <c r="S150" s="1"/>
      <c r="T150" s="1"/>
    </row>
    <row r="151" spans="16:20" x14ac:dyDescent="0.3">
      <c r="P151" s="1"/>
      <c r="Q151" s="1"/>
      <c r="R151" s="1"/>
      <c r="S151" s="1"/>
      <c r="T151" s="1"/>
    </row>
    <row r="152" spans="16:20" x14ac:dyDescent="0.3">
      <c r="P152" s="1"/>
      <c r="Q152" s="1"/>
      <c r="R152" s="1"/>
      <c r="S152" s="1"/>
      <c r="T152" s="1"/>
    </row>
    <row r="153" spans="16:20" x14ac:dyDescent="0.3">
      <c r="P153" s="1"/>
      <c r="Q153" s="1"/>
      <c r="R153" s="1"/>
      <c r="S153" s="1"/>
      <c r="T153" s="1"/>
    </row>
    <row r="154" spans="16:20" x14ac:dyDescent="0.3">
      <c r="P154" s="1"/>
      <c r="Q154" s="1"/>
      <c r="R154" s="1"/>
      <c r="S154" s="1"/>
      <c r="T154" s="1"/>
    </row>
    <row r="155" spans="16:20" x14ac:dyDescent="0.3">
      <c r="P155" s="1"/>
      <c r="Q155" s="1"/>
      <c r="R155" s="1"/>
      <c r="S155" s="1"/>
      <c r="T155" s="1"/>
    </row>
    <row r="156" spans="16:20" x14ac:dyDescent="0.3">
      <c r="P156" s="1"/>
      <c r="Q156" s="1"/>
      <c r="R156" s="1"/>
      <c r="S156" s="1"/>
      <c r="T156" s="1"/>
    </row>
    <row r="157" spans="16:20" x14ac:dyDescent="0.3">
      <c r="P157" s="1"/>
      <c r="Q157" s="1"/>
      <c r="R157" s="1"/>
      <c r="S157" s="1"/>
      <c r="T157" s="1"/>
    </row>
    <row r="158" spans="16:20" x14ac:dyDescent="0.3">
      <c r="P158" s="1"/>
      <c r="Q158" s="1"/>
      <c r="R158" s="1"/>
      <c r="S158" s="1"/>
      <c r="T158" s="1"/>
    </row>
    <row r="159" spans="16:20" x14ac:dyDescent="0.3">
      <c r="P159" s="1"/>
      <c r="Q159" s="1"/>
      <c r="R159" s="1"/>
      <c r="S159" s="1"/>
      <c r="T159" s="1"/>
    </row>
    <row r="160" spans="16:20" x14ac:dyDescent="0.3">
      <c r="P160" s="1"/>
      <c r="Q160" s="1"/>
      <c r="R160" s="1"/>
      <c r="S160" s="1"/>
      <c r="T160" s="1"/>
    </row>
    <row r="161" spans="16:20" x14ac:dyDescent="0.3">
      <c r="P161" s="1"/>
      <c r="Q161" s="1"/>
      <c r="R161" s="1"/>
      <c r="S161" s="1"/>
      <c r="T161" s="1"/>
    </row>
    <row r="162" spans="16:20" x14ac:dyDescent="0.3">
      <c r="P162" s="1"/>
      <c r="Q162" s="1"/>
      <c r="R162" s="1"/>
      <c r="S162" s="1"/>
      <c r="T162" s="1"/>
    </row>
    <row r="163" spans="16:20" x14ac:dyDescent="0.3">
      <c r="P163" s="1"/>
      <c r="Q163" s="1"/>
      <c r="R163" s="1"/>
      <c r="S163" s="1"/>
      <c r="T163" s="1"/>
    </row>
    <row r="164" spans="16:20" x14ac:dyDescent="0.3">
      <c r="P164" s="1"/>
      <c r="Q164" s="1"/>
      <c r="R164" s="1"/>
      <c r="S164" s="1"/>
      <c r="T164" s="1"/>
    </row>
    <row r="165" spans="16:20" x14ac:dyDescent="0.3">
      <c r="P165" s="1"/>
      <c r="Q165" s="1"/>
      <c r="R165" s="1"/>
      <c r="S165" s="1"/>
      <c r="T165" s="1"/>
    </row>
    <row r="166" spans="16:20" x14ac:dyDescent="0.3">
      <c r="P166" s="1"/>
      <c r="Q166" s="1"/>
      <c r="R166" s="1"/>
      <c r="S166" s="1"/>
      <c r="T166" s="1"/>
    </row>
    <row r="167" spans="16:20" x14ac:dyDescent="0.3">
      <c r="P167" s="1"/>
      <c r="Q167" s="1"/>
      <c r="R167" s="1"/>
      <c r="S167" s="1"/>
      <c r="T167" s="1"/>
    </row>
    <row r="168" spans="16:20" x14ac:dyDescent="0.3">
      <c r="P168" s="1"/>
      <c r="Q168" s="1"/>
      <c r="R168" s="1"/>
      <c r="S168" s="1"/>
      <c r="T168" s="1"/>
    </row>
    <row r="169" spans="16:20" x14ac:dyDescent="0.3">
      <c r="P169" s="1"/>
      <c r="Q169" s="1"/>
      <c r="R169" s="1"/>
      <c r="S169" s="1"/>
      <c r="T169" s="1"/>
    </row>
    <row r="170" spans="16:20" x14ac:dyDescent="0.3">
      <c r="P170" s="1"/>
      <c r="Q170" s="1"/>
      <c r="R170" s="1"/>
      <c r="S170" s="1"/>
      <c r="T170" s="1"/>
    </row>
    <row r="171" spans="16:20" x14ac:dyDescent="0.3">
      <c r="P171" s="1"/>
      <c r="Q171" s="1"/>
      <c r="R171" s="1"/>
      <c r="S171" s="1"/>
      <c r="T171" s="1"/>
    </row>
    <row r="172" spans="16:20" x14ac:dyDescent="0.3">
      <c r="P172" s="1"/>
      <c r="Q172" s="1"/>
      <c r="R172" s="1"/>
      <c r="S172" s="1"/>
      <c r="T172" s="1"/>
    </row>
    <row r="173" spans="16:20" x14ac:dyDescent="0.3">
      <c r="P173" s="1"/>
      <c r="Q173" s="1"/>
      <c r="R173" s="1"/>
      <c r="S173" s="1"/>
      <c r="T173" s="1"/>
    </row>
    <row r="174" spans="16:20" x14ac:dyDescent="0.3">
      <c r="P174" s="1"/>
      <c r="Q174" s="1"/>
      <c r="R174" s="1"/>
      <c r="S174" s="1"/>
      <c r="T174" s="1"/>
    </row>
    <row r="175" spans="16:20" x14ac:dyDescent="0.3">
      <c r="P175" s="1"/>
      <c r="Q175" s="1"/>
      <c r="R175" s="1"/>
      <c r="S175" s="1"/>
      <c r="T175" s="1"/>
    </row>
    <row r="176" spans="16:20" x14ac:dyDescent="0.3">
      <c r="P176" s="1"/>
      <c r="Q176" s="1"/>
      <c r="R176" s="1"/>
      <c r="S176" s="1"/>
      <c r="T176" s="1"/>
    </row>
    <row r="177" spans="16:20" x14ac:dyDescent="0.3">
      <c r="P177" s="1"/>
      <c r="Q177" s="1"/>
      <c r="R177" s="1"/>
      <c r="S177" s="1"/>
      <c r="T177" s="1"/>
    </row>
    <row r="178" spans="16:20" x14ac:dyDescent="0.3">
      <c r="P178" s="1"/>
      <c r="Q178" s="1"/>
      <c r="R178" s="1"/>
      <c r="S178" s="1"/>
      <c r="T178" s="1"/>
    </row>
    <row r="179" spans="16:20" x14ac:dyDescent="0.3">
      <c r="P179" s="1"/>
      <c r="Q179" s="1"/>
      <c r="R179" s="1"/>
      <c r="S179" s="1"/>
      <c r="T179" s="1"/>
    </row>
    <row r="180" spans="16:20" x14ac:dyDescent="0.3">
      <c r="P180" s="1"/>
      <c r="Q180" s="1"/>
      <c r="R180" s="1"/>
      <c r="S180" s="1"/>
      <c r="T180" s="1"/>
    </row>
    <row r="181" spans="16:20" x14ac:dyDescent="0.3">
      <c r="P181" s="1"/>
      <c r="Q181" s="1"/>
      <c r="R181" s="1"/>
      <c r="S181" s="1"/>
      <c r="T181" s="1"/>
    </row>
    <row r="182" spans="16:20" x14ac:dyDescent="0.3">
      <c r="P182" s="1"/>
      <c r="Q182" s="1"/>
      <c r="R182" s="1"/>
      <c r="S182" s="1"/>
      <c r="T182" s="1"/>
    </row>
    <row r="183" spans="16:20" x14ac:dyDescent="0.3">
      <c r="P183" s="1"/>
      <c r="Q183" s="1"/>
      <c r="R183" s="1"/>
      <c r="S183" s="1"/>
      <c r="T183" s="1"/>
    </row>
    <row r="184" spans="16:20" x14ac:dyDescent="0.3">
      <c r="P184" s="1"/>
      <c r="Q184" s="1"/>
      <c r="R184" s="1"/>
      <c r="S184" s="1"/>
      <c r="T184" s="1"/>
    </row>
    <row r="185" spans="16:20" x14ac:dyDescent="0.3">
      <c r="P185" s="1"/>
      <c r="Q185" s="1"/>
      <c r="R185" s="1"/>
      <c r="S185" s="1"/>
      <c r="T185" s="1"/>
    </row>
    <row r="186" spans="16:20" x14ac:dyDescent="0.3">
      <c r="P186" s="1"/>
      <c r="Q186" s="1"/>
      <c r="R186" s="1"/>
      <c r="S186" s="1"/>
      <c r="T186" s="1"/>
    </row>
    <row r="187" spans="16:20" x14ac:dyDescent="0.3">
      <c r="P187" s="1"/>
      <c r="Q187" s="1"/>
      <c r="R187" s="1"/>
      <c r="S187" s="1"/>
      <c r="T187" s="1"/>
    </row>
    <row r="188" spans="16:20" x14ac:dyDescent="0.3">
      <c r="P188" s="1"/>
      <c r="Q188" s="1"/>
      <c r="R188" s="1"/>
      <c r="S188" s="1"/>
      <c r="T188" s="1"/>
    </row>
    <row r="189" spans="16:20" x14ac:dyDescent="0.3">
      <c r="P189" s="1"/>
      <c r="Q189" s="1"/>
      <c r="R189" s="1"/>
      <c r="S189" s="1"/>
      <c r="T189" s="1"/>
    </row>
    <row r="190" spans="16:20" x14ac:dyDescent="0.3">
      <c r="P190" s="1"/>
      <c r="Q190" s="1"/>
      <c r="R190" s="1"/>
      <c r="S190" s="1"/>
      <c r="T190" s="1"/>
    </row>
    <row r="191" spans="16:20" x14ac:dyDescent="0.3">
      <c r="P191" s="1"/>
      <c r="Q191" s="1"/>
      <c r="R191" s="1"/>
      <c r="S191" s="1"/>
      <c r="T191" s="1"/>
    </row>
    <row r="192" spans="16:20" x14ac:dyDescent="0.3">
      <c r="P192" s="1"/>
      <c r="Q192" s="1"/>
      <c r="R192" s="1"/>
      <c r="S192" s="1"/>
      <c r="T192" s="1"/>
    </row>
    <row r="193" spans="16:20" x14ac:dyDescent="0.3">
      <c r="P193" s="1"/>
      <c r="Q193" s="1"/>
      <c r="R193" s="1"/>
      <c r="S193" s="1"/>
      <c r="T193" s="1"/>
    </row>
    <row r="194" spans="16:20" x14ac:dyDescent="0.3">
      <c r="P194" s="1"/>
      <c r="Q194" s="1"/>
      <c r="R194" s="1"/>
      <c r="S194" s="1"/>
      <c r="T194" s="1"/>
    </row>
    <row r="195" spans="16:20" x14ac:dyDescent="0.3">
      <c r="P195" s="1"/>
      <c r="Q195" s="1"/>
      <c r="R195" s="1"/>
      <c r="S195" s="1"/>
      <c r="T195" s="1"/>
    </row>
    <row r="196" spans="16:20" x14ac:dyDescent="0.3">
      <c r="P196" s="1"/>
      <c r="Q196" s="1"/>
      <c r="R196" s="1"/>
      <c r="S196" s="1"/>
      <c r="T196" s="1"/>
    </row>
    <row r="197" spans="16:20" x14ac:dyDescent="0.3">
      <c r="P197" s="1"/>
      <c r="Q197" s="1"/>
      <c r="R197" s="1"/>
      <c r="S197" s="1"/>
      <c r="T197" s="1"/>
    </row>
    <row r="198" spans="16:20" x14ac:dyDescent="0.3">
      <c r="P198" s="1"/>
      <c r="Q198" s="1"/>
      <c r="R198" s="1"/>
      <c r="S198" s="1"/>
      <c r="T198" s="1"/>
    </row>
    <row r="199" spans="16:20" x14ac:dyDescent="0.3">
      <c r="P199" s="1"/>
      <c r="Q199" s="1"/>
      <c r="R199" s="1"/>
      <c r="S199" s="1"/>
      <c r="T199" s="1"/>
    </row>
    <row r="200" spans="16:20" x14ac:dyDescent="0.3">
      <c r="P200" s="1"/>
      <c r="Q200" s="1"/>
      <c r="R200" s="1"/>
      <c r="S200" s="1"/>
      <c r="T200" s="1"/>
    </row>
    <row r="201" spans="16:20" x14ac:dyDescent="0.3">
      <c r="P201" s="1"/>
      <c r="Q201" s="1"/>
      <c r="R201" s="1"/>
      <c r="S201" s="1"/>
      <c r="T201" s="1"/>
    </row>
    <row r="202" spans="16:20" x14ac:dyDescent="0.3">
      <c r="P202" s="1"/>
      <c r="Q202" s="1"/>
      <c r="R202" s="1"/>
      <c r="S202" s="1"/>
      <c r="T202" s="1"/>
    </row>
    <row r="203" spans="16:20" x14ac:dyDescent="0.3">
      <c r="P203" s="1"/>
      <c r="Q203" s="1"/>
      <c r="R203" s="1"/>
      <c r="S203" s="1"/>
      <c r="T203" s="1"/>
    </row>
    <row r="204" spans="16:20" x14ac:dyDescent="0.3">
      <c r="P204" s="1"/>
      <c r="Q204" s="1"/>
      <c r="R204" s="1"/>
      <c r="S204" s="1"/>
      <c r="T204" s="1"/>
    </row>
    <row r="205" spans="16:20" x14ac:dyDescent="0.3">
      <c r="P205" s="1"/>
      <c r="Q205" s="1"/>
      <c r="R205" s="1"/>
      <c r="S205" s="1"/>
      <c r="T205" s="1"/>
    </row>
    <row r="206" spans="16:20" x14ac:dyDescent="0.3">
      <c r="P206" s="1"/>
      <c r="Q206" s="1"/>
      <c r="R206" s="1"/>
      <c r="S206" s="1"/>
      <c r="T206" s="1"/>
    </row>
    <row r="207" spans="16:20" x14ac:dyDescent="0.3">
      <c r="P207" s="1"/>
      <c r="Q207" s="1"/>
      <c r="R207" s="1"/>
      <c r="S207" s="1"/>
      <c r="T207" s="1"/>
    </row>
    <row r="208" spans="16:20" x14ac:dyDescent="0.3">
      <c r="P208" s="1"/>
      <c r="Q208" s="1"/>
      <c r="R208" s="1"/>
      <c r="S208" s="1"/>
      <c r="T208" s="1"/>
    </row>
    <row r="209" spans="16:20" x14ac:dyDescent="0.3">
      <c r="P209" s="1"/>
      <c r="Q209" s="1"/>
      <c r="R209" s="1"/>
      <c r="S209" s="1"/>
      <c r="T209" s="1"/>
    </row>
    <row r="210" spans="16:20" x14ac:dyDescent="0.3">
      <c r="P210" s="1"/>
      <c r="Q210" s="1"/>
      <c r="R210" s="1"/>
      <c r="S210" s="1"/>
      <c r="T210" s="1"/>
    </row>
    <row r="211" spans="16:20" x14ac:dyDescent="0.3">
      <c r="P211" s="1"/>
      <c r="Q211" s="1"/>
      <c r="R211" s="1"/>
      <c r="S211" s="1"/>
      <c r="T211" s="1"/>
    </row>
    <row r="212" spans="16:20" x14ac:dyDescent="0.3">
      <c r="P212" s="1"/>
      <c r="Q212" s="1"/>
      <c r="R212" s="1"/>
      <c r="S212" s="1"/>
      <c r="T212" s="1"/>
    </row>
    <row r="213" spans="16:20" x14ac:dyDescent="0.3">
      <c r="P213" s="1"/>
      <c r="Q213" s="1"/>
      <c r="R213" s="1"/>
      <c r="S213" s="1"/>
      <c r="T213" s="1"/>
    </row>
    <row r="214" spans="16:20" x14ac:dyDescent="0.3">
      <c r="P214" s="1"/>
      <c r="Q214" s="1"/>
      <c r="R214" s="1"/>
      <c r="S214" s="1"/>
      <c r="T214" s="1"/>
    </row>
    <row r="215" spans="16:20" x14ac:dyDescent="0.3">
      <c r="P215" s="1"/>
      <c r="Q215" s="1"/>
      <c r="R215" s="1"/>
      <c r="S215" s="1"/>
      <c r="T215" s="1"/>
    </row>
    <row r="216" spans="16:20" x14ac:dyDescent="0.3">
      <c r="P216" s="1"/>
      <c r="Q216" s="1"/>
      <c r="R216" s="1"/>
      <c r="S216" s="1"/>
      <c r="T216" s="1"/>
    </row>
    <row r="217" spans="16:20" x14ac:dyDescent="0.3">
      <c r="P217" s="1"/>
      <c r="Q217" s="1"/>
      <c r="R217" s="1"/>
      <c r="S217" s="1"/>
      <c r="T217" s="1"/>
    </row>
    <row r="218" spans="16:20" x14ac:dyDescent="0.3">
      <c r="P218" s="1"/>
      <c r="Q218" s="1"/>
      <c r="R218" s="1"/>
      <c r="S218" s="1"/>
      <c r="T218" s="1"/>
    </row>
    <row r="219" spans="16:20" x14ac:dyDescent="0.3">
      <c r="P219" s="1"/>
      <c r="Q219" s="1"/>
      <c r="R219" s="1"/>
      <c r="S219" s="1"/>
      <c r="T219" s="1"/>
    </row>
    <row r="220" spans="16:20" x14ac:dyDescent="0.3">
      <c r="P220" s="1"/>
      <c r="Q220" s="1"/>
      <c r="R220" s="1"/>
      <c r="S220" s="1"/>
      <c r="T220" s="1"/>
    </row>
    <row r="221" spans="16:20" x14ac:dyDescent="0.3">
      <c r="P221" s="1"/>
      <c r="Q221" s="1"/>
      <c r="R221" s="1"/>
      <c r="S221" s="1"/>
      <c r="T221" s="1"/>
    </row>
    <row r="222" spans="16:20" x14ac:dyDescent="0.3">
      <c r="P222" s="1"/>
      <c r="Q222" s="1"/>
      <c r="R222" s="1"/>
      <c r="S222" s="1"/>
      <c r="T222" s="1"/>
    </row>
    <row r="223" spans="16:20" x14ac:dyDescent="0.3">
      <c r="P223" s="1"/>
      <c r="Q223" s="1"/>
      <c r="R223" s="1"/>
      <c r="S223" s="1"/>
      <c r="T223" s="1"/>
    </row>
    <row r="224" spans="16:20" x14ac:dyDescent="0.3">
      <c r="P224" s="1"/>
      <c r="Q224" s="1"/>
      <c r="R224" s="1"/>
      <c r="S224" s="1"/>
      <c r="T224" s="1"/>
    </row>
    <row r="225" spans="16:20" x14ac:dyDescent="0.3">
      <c r="P225" s="1"/>
      <c r="Q225" s="1"/>
      <c r="R225" s="1"/>
      <c r="S225" s="1"/>
      <c r="T225" s="1"/>
    </row>
  </sheetData>
  <phoneticPr fontId="3" type="noConversion"/>
  <conditionalFormatting sqref="I23:I50">
    <cfRule type="cellIs" dxfId="9" priority="6" operator="equal">
      <formula>"Z1"</formula>
    </cfRule>
    <cfRule type="cellIs" dxfId="8" priority="7" operator="equal">
      <formula>"Z2"</formula>
    </cfRule>
    <cfRule type="cellIs" dxfId="7" priority="8" operator="equal">
      <formula>"Z3"</formula>
    </cfRule>
    <cfRule type="cellIs" dxfId="6" priority="9" operator="equal">
      <formula>"Z4"</formula>
    </cfRule>
    <cfRule type="cellIs" dxfId="5" priority="10" operator="equal">
      <formula>"Z5"</formula>
    </cfRule>
  </conditionalFormatting>
  <conditionalFormatting sqref="M5:M22">
    <cfRule type="cellIs" dxfId="4" priority="1" operator="equal">
      <formula>"Z1"</formula>
    </cfRule>
    <cfRule type="cellIs" dxfId="3" priority="2" operator="equal">
      <formula>"Z2"</formula>
    </cfRule>
    <cfRule type="cellIs" dxfId="2" priority="3" operator="equal">
      <formula>"Z3"</formula>
    </cfRule>
    <cfRule type="cellIs" dxfId="1" priority="4" operator="equal">
      <formula>"Z4"</formula>
    </cfRule>
    <cfRule type="cellIs" dxfId="0" priority="5" operator="equal">
      <formula>"Z5"</formula>
    </cfRule>
  </conditionalFormatting>
  <dataValidations disablePrompts="1" count="1">
    <dataValidation type="list" allowBlank="1" sqref="I23:I50" xr:uid="{00000000-0002-0000-0000-000000000000}">
      <formula1>"Z1,Z2,Z3,Z4,Z5"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6_Genera_Tutto">
                <anchor moveWithCells="1" sizeWithCells="1">
                  <from>
                    <xdr:col>6</xdr:col>
                    <xdr:colOff>480060</xdr:colOff>
                    <xdr:row>0</xdr:row>
                    <xdr:rowOff>60960</xdr:rowOff>
                  </from>
                  <to>
                    <xdr:col>7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88C5-F738-4980-BA19-826D9CD87EDD}">
  <sheetPr codeName="Foglio2">
    <pageSetUpPr fitToPage="1"/>
  </sheetPr>
  <dimension ref="A1:K32"/>
  <sheetViews>
    <sheetView view="pageBreakPreview" zoomScale="60" zoomScaleNormal="100" workbookViewId="0">
      <selection activeCell="H25" sqref="H25"/>
    </sheetView>
  </sheetViews>
  <sheetFormatPr defaultRowHeight="14.4" x14ac:dyDescent="0.3"/>
  <cols>
    <col min="1" max="1" width="20.109375" customWidth="1"/>
    <col min="2" max="2" width="36.77734375" style="14" customWidth="1"/>
    <col min="3" max="3" width="8.77734375" customWidth="1"/>
    <col min="4" max="4" width="62.88671875" bestFit="1" customWidth="1"/>
    <col min="5" max="6" width="10.77734375" customWidth="1"/>
    <col min="7" max="9" width="8.77734375" customWidth="1"/>
    <col min="10" max="10" width="12.77734375" customWidth="1"/>
    <col min="11" max="11" width="36.77734375" style="14" customWidth="1"/>
  </cols>
  <sheetData>
    <row r="1" spans="1:11" ht="15.6" x14ac:dyDescent="0.3">
      <c r="A1" s="25" t="s">
        <v>32</v>
      </c>
    </row>
    <row r="2" spans="1:11" ht="15.6" x14ac:dyDescent="0.3">
      <c r="A2" s="25" t="s">
        <v>124</v>
      </c>
    </row>
    <row r="5" spans="1:11" ht="22.05" customHeight="1" x14ac:dyDescent="0.3">
      <c r="A5" s="13" t="s">
        <v>2</v>
      </c>
      <c r="B5" s="13" t="s">
        <v>3</v>
      </c>
      <c r="C5" s="13" t="s">
        <v>7</v>
      </c>
      <c r="D5" s="13" t="s">
        <v>8</v>
      </c>
      <c r="E5" s="13" t="s">
        <v>9</v>
      </c>
      <c r="F5" s="13" t="s">
        <v>10</v>
      </c>
      <c r="G5" s="13" t="s">
        <v>11</v>
      </c>
      <c r="H5" s="13" t="s">
        <v>12</v>
      </c>
      <c r="I5" s="13" t="s">
        <v>13</v>
      </c>
      <c r="J5" s="13" t="s">
        <v>14</v>
      </c>
      <c r="K5" s="13" t="s">
        <v>15</v>
      </c>
    </row>
    <row r="6" spans="1:11" ht="44.4" customHeight="1" x14ac:dyDescent="0.3">
      <c r="A6" s="26">
        <v>0</v>
      </c>
      <c r="B6" s="41" t="s">
        <v>42</v>
      </c>
      <c r="C6" s="26">
        <v>1.6782407407407408E-3</v>
      </c>
      <c r="D6" s="27" t="s">
        <v>107</v>
      </c>
      <c r="E6" s="27" t="s">
        <v>17</v>
      </c>
      <c r="F6" s="27" t="s">
        <v>18</v>
      </c>
      <c r="G6" s="27">
        <v>116</v>
      </c>
      <c r="H6" s="27" t="s">
        <v>62</v>
      </c>
      <c r="I6" s="28">
        <v>0.25</v>
      </c>
      <c r="J6" s="27" t="s">
        <v>19</v>
      </c>
      <c r="K6" s="41" t="s">
        <v>20</v>
      </c>
    </row>
    <row r="7" spans="1:11" ht="44.4" customHeight="1" x14ac:dyDescent="0.3">
      <c r="A7" s="26">
        <v>1.6782407407407408E-3</v>
      </c>
      <c r="B7" s="41" t="s">
        <v>43</v>
      </c>
      <c r="C7" s="26">
        <v>2.3379629629629631E-3</v>
      </c>
      <c r="D7" s="27" t="s">
        <v>108</v>
      </c>
      <c r="E7" s="27" t="s">
        <v>26</v>
      </c>
      <c r="F7" s="27" t="s">
        <v>18</v>
      </c>
      <c r="G7" s="27">
        <v>114</v>
      </c>
      <c r="H7" s="27" t="s">
        <v>63</v>
      </c>
      <c r="I7" s="28">
        <v>0.35</v>
      </c>
      <c r="J7" s="27" t="s">
        <v>77</v>
      </c>
      <c r="K7" s="41" t="s">
        <v>78</v>
      </c>
    </row>
    <row r="8" spans="1:11" ht="44.4" customHeight="1" x14ac:dyDescent="0.3">
      <c r="A8" s="29">
        <v>4.0162037037037041E-3</v>
      </c>
      <c r="B8" s="42" t="s">
        <v>44</v>
      </c>
      <c r="C8" s="29">
        <v>2.0370370370370369E-3</v>
      </c>
      <c r="D8" s="30" t="s">
        <v>109</v>
      </c>
      <c r="E8" s="30" t="s">
        <v>26</v>
      </c>
      <c r="F8" s="30" t="s">
        <v>22</v>
      </c>
      <c r="G8" s="30">
        <v>123</v>
      </c>
      <c r="H8" s="30" t="s">
        <v>64</v>
      </c>
      <c r="I8" s="31">
        <v>0.45</v>
      </c>
      <c r="J8" s="30" t="s">
        <v>79</v>
      </c>
      <c r="K8" s="42" t="s">
        <v>80</v>
      </c>
    </row>
    <row r="9" spans="1:11" ht="44.4" customHeight="1" x14ac:dyDescent="0.3">
      <c r="A9" s="29">
        <v>6.053240740740741E-3</v>
      </c>
      <c r="B9" s="42" t="s">
        <v>45</v>
      </c>
      <c r="C9" s="29">
        <v>1.9907407407407408E-3</v>
      </c>
      <c r="D9" s="30" t="s">
        <v>110</v>
      </c>
      <c r="E9" s="30" t="s">
        <v>26</v>
      </c>
      <c r="F9" s="30" t="s">
        <v>22</v>
      </c>
      <c r="G9" s="30">
        <v>123</v>
      </c>
      <c r="H9" s="30" t="s">
        <v>65</v>
      </c>
      <c r="I9" s="31">
        <v>0.5</v>
      </c>
      <c r="J9" s="30" t="s">
        <v>79</v>
      </c>
      <c r="K9" s="42" t="s">
        <v>81</v>
      </c>
    </row>
    <row r="10" spans="1:11" ht="44.4" customHeight="1" x14ac:dyDescent="0.3">
      <c r="A10" s="32">
        <v>8.0439814814814818E-3</v>
      </c>
      <c r="B10" s="43" t="s">
        <v>46</v>
      </c>
      <c r="C10" s="32">
        <v>1.8749999999999999E-3</v>
      </c>
      <c r="D10" s="33" t="s">
        <v>112</v>
      </c>
      <c r="E10" s="33" t="s">
        <v>61</v>
      </c>
      <c r="F10" s="33" t="s">
        <v>23</v>
      </c>
      <c r="G10" s="33">
        <v>115</v>
      </c>
      <c r="H10" s="33" t="s">
        <v>66</v>
      </c>
      <c r="I10" s="34">
        <v>0.65</v>
      </c>
      <c r="J10" s="33" t="s">
        <v>82</v>
      </c>
      <c r="K10" s="43" t="s">
        <v>83</v>
      </c>
    </row>
    <row r="11" spans="1:11" ht="44.4" customHeight="1" x14ac:dyDescent="0.3">
      <c r="A11" s="32">
        <v>9.9189814814814817E-3</v>
      </c>
      <c r="B11" s="43" t="s">
        <v>47</v>
      </c>
      <c r="C11" s="32">
        <v>4.0046296296296297E-3</v>
      </c>
      <c r="D11" s="33" t="s">
        <v>111</v>
      </c>
      <c r="E11" s="33" t="s">
        <v>61</v>
      </c>
      <c r="F11" s="33" t="s">
        <v>23</v>
      </c>
      <c r="G11" s="33">
        <v>124</v>
      </c>
      <c r="H11" s="33" t="s">
        <v>67</v>
      </c>
      <c r="I11" s="34">
        <v>0.7</v>
      </c>
      <c r="J11" s="33" t="s">
        <v>84</v>
      </c>
      <c r="K11" s="43" t="s">
        <v>85</v>
      </c>
    </row>
    <row r="12" spans="1:11" ht="44.4" customHeight="1" x14ac:dyDescent="0.3">
      <c r="A12" s="32">
        <v>1.3923611111111111E-2</v>
      </c>
      <c r="B12" s="43" t="s">
        <v>48</v>
      </c>
      <c r="C12" s="32">
        <v>1.3541666666666667E-3</v>
      </c>
      <c r="D12" s="33" t="s">
        <v>113</v>
      </c>
      <c r="E12" s="33" t="s">
        <v>25</v>
      </c>
      <c r="F12" s="33" t="s">
        <v>23</v>
      </c>
      <c r="G12" s="33">
        <v>130</v>
      </c>
      <c r="H12" s="33" t="s">
        <v>63</v>
      </c>
      <c r="I12" s="34">
        <v>0.6</v>
      </c>
      <c r="J12" s="33" t="s">
        <v>24</v>
      </c>
      <c r="K12" s="43" t="s">
        <v>86</v>
      </c>
    </row>
    <row r="13" spans="1:11" ht="44.4" customHeight="1" x14ac:dyDescent="0.3">
      <c r="A13" s="32">
        <v>1.5277777777777777E-2</v>
      </c>
      <c r="B13" s="43" t="s">
        <v>49</v>
      </c>
      <c r="C13" s="32">
        <v>1.9444444444444444E-3</v>
      </c>
      <c r="D13" s="33" t="s">
        <v>114</v>
      </c>
      <c r="E13" s="33" t="s">
        <v>25</v>
      </c>
      <c r="F13" s="33" t="s">
        <v>23</v>
      </c>
      <c r="G13" s="33">
        <v>134</v>
      </c>
      <c r="H13" s="33" t="s">
        <v>68</v>
      </c>
      <c r="I13" s="34">
        <v>0.65</v>
      </c>
      <c r="J13" s="33" t="s">
        <v>87</v>
      </c>
      <c r="K13" s="43" t="s">
        <v>88</v>
      </c>
    </row>
    <row r="14" spans="1:11" ht="44.4" customHeight="1" x14ac:dyDescent="0.3">
      <c r="A14" s="35">
        <v>1.7222222222222222E-2</v>
      </c>
      <c r="B14" s="44" t="s">
        <v>50</v>
      </c>
      <c r="C14" s="35">
        <v>2.5231481481481481E-3</v>
      </c>
      <c r="D14" s="36" t="s">
        <v>115</v>
      </c>
      <c r="E14" s="36" t="s">
        <v>21</v>
      </c>
      <c r="F14" s="36" t="s">
        <v>27</v>
      </c>
      <c r="G14" s="36">
        <v>140</v>
      </c>
      <c r="H14" s="36" t="s">
        <v>69</v>
      </c>
      <c r="I14" s="37">
        <v>0.75</v>
      </c>
      <c r="J14" s="36" t="s">
        <v>89</v>
      </c>
      <c r="K14" s="44" t="s">
        <v>90</v>
      </c>
    </row>
    <row r="15" spans="1:11" ht="44.4" customHeight="1" x14ac:dyDescent="0.3">
      <c r="A15" s="35">
        <v>1.9745370370370371E-2</v>
      </c>
      <c r="B15" s="44" t="s">
        <v>51</v>
      </c>
      <c r="C15" s="35">
        <v>1.9907407407407408E-3</v>
      </c>
      <c r="D15" s="36" t="s">
        <v>116</v>
      </c>
      <c r="E15" s="36" t="s">
        <v>61</v>
      </c>
      <c r="F15" s="36" t="s">
        <v>27</v>
      </c>
      <c r="G15" s="36">
        <v>100</v>
      </c>
      <c r="H15" s="36" t="s">
        <v>70</v>
      </c>
      <c r="I15" s="37">
        <v>0.75</v>
      </c>
      <c r="J15" s="36" t="s">
        <v>89</v>
      </c>
      <c r="K15" s="44" t="s">
        <v>91</v>
      </c>
    </row>
    <row r="16" spans="1:11" ht="44.4" customHeight="1" x14ac:dyDescent="0.3">
      <c r="A16" s="29">
        <v>2.1736111111111112E-2</v>
      </c>
      <c r="B16" s="42" t="s">
        <v>52</v>
      </c>
      <c r="C16" s="29">
        <v>1.7013888888888888E-3</v>
      </c>
      <c r="D16" s="30" t="s">
        <v>117</v>
      </c>
      <c r="E16" s="30" t="s">
        <v>26</v>
      </c>
      <c r="F16" s="30" t="s">
        <v>22</v>
      </c>
      <c r="G16" s="30">
        <v>100</v>
      </c>
      <c r="H16" s="30" t="s">
        <v>71</v>
      </c>
      <c r="I16" s="31">
        <v>0.5</v>
      </c>
      <c r="J16" s="30" t="s">
        <v>92</v>
      </c>
      <c r="K16" s="42" t="s">
        <v>93</v>
      </c>
    </row>
    <row r="17" spans="1:11" ht="44.4" customHeight="1" x14ac:dyDescent="0.3">
      <c r="A17" s="35">
        <v>2.34375E-2</v>
      </c>
      <c r="B17" s="44" t="s">
        <v>53</v>
      </c>
      <c r="C17" s="35">
        <v>2.0138888888888888E-3</v>
      </c>
      <c r="D17" s="36" t="s">
        <v>118</v>
      </c>
      <c r="E17" s="36" t="s">
        <v>21</v>
      </c>
      <c r="F17" s="36" t="s">
        <v>27</v>
      </c>
      <c r="G17" s="36">
        <v>128</v>
      </c>
      <c r="H17" s="36" t="s">
        <v>72</v>
      </c>
      <c r="I17" s="37">
        <v>0.8</v>
      </c>
      <c r="J17" s="36" t="s">
        <v>94</v>
      </c>
      <c r="K17" s="44" t="s">
        <v>95</v>
      </c>
    </row>
    <row r="18" spans="1:11" ht="44.4" customHeight="1" x14ac:dyDescent="0.3">
      <c r="A18" s="29">
        <v>2.5451388888888888E-2</v>
      </c>
      <c r="B18" s="42" t="s">
        <v>54</v>
      </c>
      <c r="C18" s="29">
        <v>2.3611111111111111E-3</v>
      </c>
      <c r="D18" s="30" t="s">
        <v>119</v>
      </c>
      <c r="E18" s="30" t="s">
        <v>26</v>
      </c>
      <c r="F18" s="30" t="s">
        <v>22</v>
      </c>
      <c r="G18" s="30">
        <v>125</v>
      </c>
      <c r="H18" s="30" t="s">
        <v>65</v>
      </c>
      <c r="I18" s="31">
        <v>0.55000000000000004</v>
      </c>
      <c r="J18" s="30" t="s">
        <v>96</v>
      </c>
      <c r="K18" s="42" t="s">
        <v>97</v>
      </c>
    </row>
    <row r="19" spans="1:11" ht="44.4" customHeight="1" x14ac:dyDescent="0.3">
      <c r="A19" s="35">
        <v>2.78125E-2</v>
      </c>
      <c r="B19" s="44" t="s">
        <v>55</v>
      </c>
      <c r="C19" s="35">
        <v>2.5694444444444445E-3</v>
      </c>
      <c r="D19" s="36" t="s">
        <v>120</v>
      </c>
      <c r="E19" s="36" t="s">
        <v>21</v>
      </c>
      <c r="F19" s="36" t="s">
        <v>27</v>
      </c>
      <c r="G19" s="36">
        <v>174</v>
      </c>
      <c r="H19" s="36" t="s">
        <v>73</v>
      </c>
      <c r="I19" s="37">
        <v>0.8</v>
      </c>
      <c r="J19" s="36" t="s">
        <v>98</v>
      </c>
      <c r="K19" s="44" t="s">
        <v>99</v>
      </c>
    </row>
    <row r="20" spans="1:11" ht="44.4" customHeight="1" x14ac:dyDescent="0.3">
      <c r="A20" s="32">
        <v>3.0381944444444444E-2</v>
      </c>
      <c r="B20" s="43" t="s">
        <v>56</v>
      </c>
      <c r="C20" s="32">
        <v>2.4537037037037036E-3</v>
      </c>
      <c r="D20" s="33" t="s">
        <v>121</v>
      </c>
      <c r="E20" s="33" t="s">
        <v>25</v>
      </c>
      <c r="F20" s="33" t="s">
        <v>23</v>
      </c>
      <c r="G20" s="33">
        <v>198</v>
      </c>
      <c r="H20" s="33" t="s">
        <v>74</v>
      </c>
      <c r="I20" s="34">
        <v>0.65</v>
      </c>
      <c r="J20" s="33" t="s">
        <v>100</v>
      </c>
      <c r="K20" s="43" t="s">
        <v>101</v>
      </c>
    </row>
    <row r="21" spans="1:11" ht="44.4" customHeight="1" x14ac:dyDescent="0.3">
      <c r="A21" s="29">
        <v>3.2835648148148149E-2</v>
      </c>
      <c r="B21" s="42" t="s">
        <v>57</v>
      </c>
      <c r="C21" s="29">
        <v>1.9791666666666668E-3</v>
      </c>
      <c r="D21" s="30" t="s">
        <v>122</v>
      </c>
      <c r="E21" s="30" t="s">
        <v>26</v>
      </c>
      <c r="F21" s="30" t="s">
        <v>22</v>
      </c>
      <c r="G21" s="30">
        <v>92</v>
      </c>
      <c r="H21" s="30" t="s">
        <v>62</v>
      </c>
      <c r="I21" s="31">
        <v>0.5</v>
      </c>
      <c r="J21" s="30" t="s">
        <v>102</v>
      </c>
      <c r="K21" s="42" t="s">
        <v>28</v>
      </c>
    </row>
    <row r="22" spans="1:11" ht="44.4" customHeight="1" x14ac:dyDescent="0.3">
      <c r="A22" s="26">
        <v>3.4814814814814812E-2</v>
      </c>
      <c r="B22" s="41" t="s">
        <v>58</v>
      </c>
      <c r="C22" s="26">
        <v>2.9166666666666668E-3</v>
      </c>
      <c r="D22" s="27" t="s">
        <v>123</v>
      </c>
      <c r="E22" s="27" t="s">
        <v>17</v>
      </c>
      <c r="F22" s="27" t="s">
        <v>18</v>
      </c>
      <c r="G22" s="27">
        <v>132</v>
      </c>
      <c r="H22" s="27" t="s">
        <v>75</v>
      </c>
      <c r="I22" s="28">
        <v>0.35</v>
      </c>
      <c r="J22" s="27" t="s">
        <v>41</v>
      </c>
      <c r="K22" s="41" t="s">
        <v>103</v>
      </c>
    </row>
    <row r="23" spans="1:11" ht="44.4" customHeight="1" x14ac:dyDescent="0.3">
      <c r="A23" s="38">
        <v>3.7731481481481484E-2</v>
      </c>
      <c r="B23" s="45" t="s">
        <v>59</v>
      </c>
      <c r="C23" s="38">
        <v>2.7199074074074074E-3</v>
      </c>
      <c r="D23" s="39" t="s">
        <v>60</v>
      </c>
      <c r="E23" s="39" t="s">
        <v>29</v>
      </c>
      <c r="F23" s="39" t="s">
        <v>30</v>
      </c>
      <c r="G23" s="39">
        <v>90</v>
      </c>
      <c r="H23" s="39" t="s">
        <v>76</v>
      </c>
      <c r="I23" s="40">
        <v>0.2</v>
      </c>
      <c r="J23" s="39" t="s">
        <v>31</v>
      </c>
      <c r="K23" s="45" t="s">
        <v>104</v>
      </c>
    </row>
    <row r="25" spans="1:11" x14ac:dyDescent="0.3">
      <c r="A25" s="24" t="s">
        <v>33</v>
      </c>
      <c r="B25" s="46">
        <v>18</v>
      </c>
      <c r="C25" s="24" t="s">
        <v>34</v>
      </c>
      <c r="D25" s="47">
        <v>4.0451388888888891E-2</v>
      </c>
    </row>
    <row r="27" spans="1:11" x14ac:dyDescent="0.3">
      <c r="A27" s="24" t="s">
        <v>35</v>
      </c>
    </row>
    <row r="28" spans="1:11" x14ac:dyDescent="0.3">
      <c r="A28" t="s">
        <v>30</v>
      </c>
      <c r="B28" s="14" t="s">
        <v>36</v>
      </c>
    </row>
    <row r="29" spans="1:11" x14ac:dyDescent="0.3">
      <c r="A29" t="s">
        <v>18</v>
      </c>
      <c r="B29" s="14" t="s">
        <v>37</v>
      </c>
    </row>
    <row r="30" spans="1:11" x14ac:dyDescent="0.3">
      <c r="A30" t="s">
        <v>22</v>
      </c>
      <c r="B30" s="14" t="s">
        <v>38</v>
      </c>
    </row>
    <row r="31" spans="1:11" x14ac:dyDescent="0.3">
      <c r="A31" t="s">
        <v>23</v>
      </c>
      <c r="B31" s="14" t="s">
        <v>39</v>
      </c>
    </row>
    <row r="32" spans="1:11" x14ac:dyDescent="0.3">
      <c r="A32" t="s">
        <v>27</v>
      </c>
      <c r="B32" s="14" t="s">
        <v>40</v>
      </c>
    </row>
  </sheetData>
  <pageMargins left="0.47244094488188981" right="0.47244094488188981" top="0.47244094488188981" bottom="0.47244094488188981" header="0.31496062992125984" footer="0.31496062992125984"/>
  <pageSetup paperSize="9" scale="50" orientation="landscape" r:id="rId1"/>
  <headerFooter>
    <oddFooter>&amp;CGenerato 2026-03-17 13:03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2</vt:i4>
      </vt:variant>
    </vt:vector>
  </HeadingPairs>
  <TitlesOfParts>
    <vt:vector size="4" baseType="lpstr">
      <vt:lpstr>Maschera</vt:lpstr>
      <vt:lpstr>EXPORT_TABELLA</vt:lpstr>
      <vt:lpstr>EXPORT_TABELLA!Area_stampa</vt:lpstr>
      <vt:lpstr>EXPORT_TABELLA!Titoli_stampa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Giuseppe Primavera (CEIE)</cp:lastModifiedBy>
  <cp:revision/>
  <cp:lastPrinted>2026-03-17T12:05:18Z</cp:lastPrinted>
  <dcterms:created xsi:type="dcterms:W3CDTF">2026-02-12T17:14:19Z</dcterms:created>
  <dcterms:modified xsi:type="dcterms:W3CDTF">2026-03-17T12:05:28Z</dcterms:modified>
  <cp:category/>
  <cp:contentStatus/>
</cp:coreProperties>
</file>